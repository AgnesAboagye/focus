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https://uniofnottm-my.sharepoint.com/personal/agnes_aboagye_nottingham_ac_uk/Documents/4th year/thesis Chapters/Chapter 5/Germinate database/"/>
    </mc:Choice>
  </mc:AlternateContent>
  <xr:revisionPtr revIDLastSave="131" documentId="13_ncr:1_{06FE2063-2CFE-4F7F-928D-A4F91A70908C}" xr6:coauthVersionLast="47" xr6:coauthVersionMax="47" xr10:uidLastSave="{A3F0BBF3-E37D-48E3-B570-1217DCD87065}"/>
  <bookViews>
    <workbookView xWindow="-110" yWindow="-110" windowWidth="19420" windowHeight="10300" activeTab="1" xr2:uid="{00000000-000D-0000-FFFF-FFFF00000000}"/>
  </bookViews>
  <sheets>
    <sheet name="METADATA" sheetId="3" r:id="rId1"/>
    <sheet name="PHENOTYPES" sheetId="2" r:id="rId2"/>
    <sheet name="DATA" sheetId="6" r:id="rId3"/>
    <sheet name="RECORDING_DATES" sheetId="7" r:id="rId4"/>
    <sheet name="ATTRIBUTES" sheetId="11" r:id="rId5"/>
    <sheet name="COLLABORATORS" sheetId="9" r:id="rId6"/>
    <sheet name="LOCATION" sheetId="10" r:id="rId7"/>
    <sheet name="LOCATION_EXAMPLE" sheetId="12" r:id="rId8"/>
    <sheet name="PHENOTYPES_EXAMPLE" sheetId="5" r:id="rId9"/>
    <sheet name="DATA_EXAMPLE" sheetId="4" r:id="rId10"/>
    <sheet name="RECORDING_DATES_EXAMPLE" sheetId="8"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<sst xmlns="http://schemas.openxmlformats.org/spreadsheetml/2006/main" count="580" uniqueCount="244">
  <si>
    <t>Name</t>
  </si>
  <si>
    <t>Short Name</t>
  </si>
  <si>
    <t>Description</t>
  </si>
  <si>
    <t>Data Type</t>
  </si>
  <si>
    <t>Contact</t>
  </si>
  <si>
    <t>Email</t>
  </si>
  <si>
    <t>Information</t>
  </si>
  <si>
    <t>Line/Phenotype</t>
  </si>
  <si>
    <t>Unit Abbreviation</t>
  </si>
  <si>
    <t>Unit Descriptions</t>
  </si>
  <si>
    <t>Unit Name</t>
  </si>
  <si>
    <t>Additional Information</t>
  </si>
  <si>
    <t>Help and Assistance</t>
  </si>
  <si>
    <t>Centimeters</t>
  </si>
  <si>
    <t>cm</t>
  </si>
  <si>
    <t>Ear length</t>
  </si>
  <si>
    <t>ELNG</t>
  </si>
  <si>
    <t>Measurement of ear length in centimeter.</t>
  </si>
  <si>
    <t>Ear number per plant</t>
  </si>
  <si>
    <t>REPP</t>
  </si>
  <si>
    <t>Number of ears head.</t>
  </si>
  <si>
    <t>Ears</t>
  </si>
  <si>
    <t>ears</t>
  </si>
  <si>
    <t>Ear width</t>
  </si>
  <si>
    <t>AMZ</t>
  </si>
  <si>
    <t>CACTUAR-1</t>
  </si>
  <si>
    <t>CACTUAR-2</t>
  </si>
  <si>
    <t>CACTUAR-3</t>
  </si>
  <si>
    <t>The "PHENOTYPES" sheet should contain a definition of the different phenotypic traits evaluated in your experiment. The "DATA" sheet should contain the phenotype values in a matrix format where the columns are the phenotype names and the rows are lines/germplasm names (ACCENUMB of the MCPD). Each cell should contain the phenotype value for the combination of phenotype and line/germplasm. Missing data should be represented by an empty cell (not NA or a dash). See the "DATA_EXAMPLE " sheet for an example. Also note, that we only deal with means, i.e. for each line/germplasm and phenotype there should only be one value. Replicates can be submitted across years by entereing them as different phenotype datasets. For example 'Phenotype Experiment 2016' and 'Phenotype Experiment 2017'.</t>
  </si>
  <si>
    <t>Rep</t>
  </si>
  <si>
    <t>Treatment</t>
  </si>
  <si>
    <t>Control</t>
  </si>
  <si>
    <t>Drought</t>
  </si>
  <si>
    <r>
      <t xml:space="preserve">If you have any queries or want to discuss your data or require assistance in filling in this template please contact us on </t>
    </r>
    <r>
      <rPr>
        <sz val="11"/>
        <color rgb="FFFF0000"/>
        <rFont val="Calibri"/>
        <family val="2"/>
        <scheme val="minor"/>
      </rPr>
      <t>germinate@hutton.ac.uk</t>
    </r>
  </si>
  <si>
    <t>LABEL</t>
  </si>
  <si>
    <t>DEFINITION</t>
  </si>
  <si>
    <t>Title</t>
  </si>
  <si>
    <t>Rights</t>
  </si>
  <si>
    <t>Date of creation</t>
  </si>
  <si>
    <t>Publisher</t>
  </si>
  <si>
    <t>An entity responsible for making the resource available. Examples of a Publisher include a person, an organization, or a service. Typically, the name of a Publisher should be used to indicate the entity.</t>
  </si>
  <si>
    <t>Format</t>
  </si>
  <si>
    <t>Language</t>
  </si>
  <si>
    <t>Source</t>
  </si>
  <si>
    <t>Type</t>
  </si>
  <si>
    <t>A name given to the resource. Typically, a Title will be a name by which the resource is formally known.</t>
  </si>
  <si>
    <t>An account of the resource. Description may include but is not limited to: an abstract, a table of contents, a graphical representation, or a free-text account of the resource.</t>
  </si>
  <si>
    <t>Information about rights held in and over the resource. Typically, rights information includes a statement about various property rights associated with the resource, including intellectual property rights.</t>
  </si>
  <si>
    <t>A point or period of time associated with an event in the lifecycle of the resource. Date may be used to express temporal information at any level of granularity. Recommended best practice is to use an encoding scheme, such as the W3CDTF profile of ISO 8601 [W3CDTF].</t>
  </si>
  <si>
    <t>The file format, physical medium, or dimensions of the resource. Examples of dimensions include size and duration. Recommended best practice is to use a controlled vocabulary such as the list of Internet Media Types [MIME].</t>
  </si>
  <si>
    <t>A language of the resource. Recommended best practice is to use a controlled vocabulary such as RFC 4646 [RFC4646].</t>
  </si>
  <si>
    <t>A related resource from which the described resource is derived. The described resource may be derived from the related resource in whole or in part. Recommended best practice is to identify the related resource by means of a string conforming to a formal identification system.</t>
  </si>
  <si>
    <t>The nature or genre of the resource. Recommended best practice is to use a controlled vocabulary such as the DCMI Type Vocabulary [DCMITYPE]. To describe the file format, physical medium, or dimensions of the resource, use the Format element.</t>
  </si>
  <si>
    <t>Subject</t>
  </si>
  <si>
    <t>The topic of the resource. Typically, the subject will be represented using keywords, key phrases, or classification codes. Recommended best practice is to use a controlled vocabulary.</t>
  </si>
  <si>
    <t>VALUE</t>
  </si>
  <si>
    <t>Last Name</t>
  </si>
  <si>
    <t>First Name</t>
  </si>
  <si>
    <t>Phone</t>
  </si>
  <si>
    <t>Contributor</t>
  </si>
  <si>
    <t>Address</t>
  </si>
  <si>
    <t>Last name (surname) of the author(s), researcher(s), scientist(s), student(s) responsible for producing the information product.</t>
  </si>
  <si>
    <t>First name (and middle name if available) of the author(s), researcher(s), scientist(s), student(s) responsible for producing the information product.</t>
  </si>
  <si>
    <t>E-mail address of the author(s), researcher(s), scientist(s), student(s) responsible for producing the information product.</t>
  </si>
  <si>
    <t>Phone number of the author(s), researcher(s), scientist(s), student(s) responsible for producing the information product.</t>
  </si>
  <si>
    <t>Author's affiliation when the resource was created.</t>
  </si>
  <si>
    <t>Address of institution of affiliation when the resource was created.</t>
  </si>
  <si>
    <t>The individual that can be contacted about this dataset.</t>
  </si>
  <si>
    <t>Short name</t>
  </si>
  <si>
    <t>Country</t>
  </si>
  <si>
    <t>Elevation</t>
  </si>
  <si>
    <t>Latitude</t>
  </si>
  <si>
    <t>Longitude</t>
  </si>
  <si>
    <t>The 2 letter country code of the institution (ISO 3166-1 alpha-2).</t>
  </si>
  <si>
    <t>Possible data types</t>
  </si>
  <si>
    <t>Trait categories (comma separated)</t>
  </si>
  <si>
    <t>categorical</t>
  </si>
  <si>
    <t>Min (only for numeric traits)</t>
  </si>
  <si>
    <t>Max (only for numeric traits)</t>
  </si>
  <si>
    <t>Growth type</t>
  </si>
  <si>
    <t>GT</t>
  </si>
  <si>
    <t>[["Erect", "Semi-erect", "Prostrate"]]</t>
  </si>
  <si>
    <t>Erect</t>
  </si>
  <si>
    <t>Prostrate</t>
  </si>
  <si>
    <t>Semi-erect</t>
  </si>
  <si>
    <t>numeric</t>
  </si>
  <si>
    <t>date</t>
  </si>
  <si>
    <t>text</t>
  </si>
  <si>
    <t>Attribute</t>
  </si>
  <si>
    <t>Value</t>
  </si>
  <si>
    <t>ValidTypes</t>
  </si>
  <si>
    <t>Location</t>
  </si>
  <si>
    <t>Site A</t>
  </si>
  <si>
    <t>A</t>
  </si>
  <si>
    <t>GB</t>
  </si>
  <si>
    <t>Site B</t>
  </si>
  <si>
    <t>B</t>
  </si>
  <si>
    <t>Block</t>
  </si>
  <si>
    <t>Investigation Title</t>
  </si>
  <si>
    <t>Human-readable string summarising the investigation.</t>
  </si>
  <si>
    <t>Investigation Description</t>
  </si>
  <si>
    <t>Human-readable text describing the investigation in more detail.</t>
  </si>
  <si>
    <t>Investigation unique ID</t>
  </si>
  <si>
    <t>Identifier comprising the unique name of the institution/database hosting the submission of the investigation data, and the accession number of the investigation in that institution.</t>
  </si>
  <si>
    <t>Associated data file link</t>
  </si>
  <si>
    <t>Link to the data file (or digital object) in a public database or in a persistent institutional repository; or identifier of the data file when submitted together with the MIAPPE submission.</t>
  </si>
  <si>
    <t>Associated data file description</t>
  </si>
  <si>
    <t>Description of the format of the data file. May be a standard file format name, or a description of organization of the data in a tabular file.</t>
  </si>
  <si>
    <t>Associated data file version</t>
  </si>
  <si>
    <t>The version of the dataset (the actual data).</t>
  </si>
  <si>
    <t>Contributor role</t>
  </si>
  <si>
    <t>Contributor ID</t>
  </si>
  <si>
    <t>Type of contribution of the person to the investigation (e.g. data submitter; author; corresponding author)</t>
  </si>
  <si>
    <t>An identifier for the data submitter. If that submitter is an individual, ORCID identifiers are recommended.</t>
  </si>
  <si>
    <t>Please include any additional information that details how this experiment was carried out in a text or Word document and send along with this template. If there are any images please send these as individual JPG files. Mandatory fields are highlighted in yellow.</t>
  </si>
  <si>
    <t>Row</t>
  </si>
  <si>
    <t>Column</t>
  </si>
  <si>
    <t>Glass house experiments in Agronomy Bay, UK to study morphological and genetic studies of 35 landraces. Each landrace was planted in replicates of 3</t>
  </si>
  <si>
    <t>Days to Emergence</t>
  </si>
  <si>
    <t>Days to 50% Flowering</t>
  </si>
  <si>
    <t>Days to Maturity</t>
  </si>
  <si>
    <t>Leaf number</t>
  </si>
  <si>
    <t>leaflet length</t>
  </si>
  <si>
    <t>Leaflet width</t>
  </si>
  <si>
    <t>Internode length</t>
  </si>
  <si>
    <t>Petiole length</t>
  </si>
  <si>
    <t>Petiole-internode ratio</t>
  </si>
  <si>
    <t>Peduncle length</t>
  </si>
  <si>
    <t>Plant spread</t>
  </si>
  <si>
    <t>Plant height</t>
  </si>
  <si>
    <t>Pods per plant</t>
  </si>
  <si>
    <t>Pod dry weight</t>
  </si>
  <si>
    <t>Pod width</t>
  </si>
  <si>
    <t>Pod length</t>
  </si>
  <si>
    <t>Seed weight</t>
  </si>
  <si>
    <t>Seed width</t>
  </si>
  <si>
    <t>Seeds per plant</t>
  </si>
  <si>
    <t>seed length</t>
  </si>
  <si>
    <t>Single seed weight</t>
  </si>
  <si>
    <t>Shoot Dry Weight</t>
  </si>
  <si>
    <t>Shell thickness</t>
  </si>
  <si>
    <t>Shell weight</t>
  </si>
  <si>
    <t>Shelling %</t>
  </si>
  <si>
    <t>Number of stems</t>
  </si>
  <si>
    <t>Number of days from sowing to emergence of first fully expanded leaf</t>
  </si>
  <si>
    <t>Number of days from sowing to when first flower opens on 50% of plant</t>
  </si>
  <si>
    <t>Number of days from sowing to full maturity</t>
  </si>
  <si>
    <t xml:space="preserve">Total number of leaves per plant </t>
  </si>
  <si>
    <t xml:space="preserve">Length of median leaflet at the fourth internode </t>
  </si>
  <si>
    <t>Average width of three leaves at the fourth node of five healthy plants</t>
  </si>
  <si>
    <t>Length of fourth internode of the longest stem,</t>
  </si>
  <si>
    <t xml:space="preserve">Measure at the stem node to the junction of the three leaflets  at the longest stem at the fourth node </t>
  </si>
  <si>
    <t>The ratio of measurement of the petiole to internode</t>
  </si>
  <si>
    <t xml:space="preserve">Recorded at the base of the leaflet of the longest petiolule at fourth internode </t>
  </si>
  <si>
    <t>Recorded on the fourth internode of the longest stem</t>
  </si>
  <si>
    <t>Average of five plants. Widest length between two opposite points</t>
  </si>
  <si>
    <t>Measured from the ground level (at the base of the plant) to the tip of the highestpoint, including the terminal leaflet of 5 plants</t>
  </si>
  <si>
    <t>Average number of pods recorded from 5 plants recorded per plot</t>
  </si>
  <si>
    <t xml:space="preserve">Average weight of pods taken from 5 plants per plot </t>
  </si>
  <si>
    <t xml:space="preserve">Average width of pods taken from 5 plants per plot </t>
  </si>
  <si>
    <t>Average length of 10 pods</t>
  </si>
  <si>
    <t>Average weight of seeds from 5 plants taken with a plot after drying</t>
  </si>
  <si>
    <t>Average width of seed from 5 plants taken with plot after drying</t>
  </si>
  <si>
    <t xml:space="preserve">Average number of seeds taken from 5 plants per plot </t>
  </si>
  <si>
    <t>Average of seed length from 5 seeds taken per plot</t>
  </si>
  <si>
    <t>Average of 100 seed weight</t>
  </si>
  <si>
    <t>Weight of aboveground  biomassof harvested plants</t>
  </si>
  <si>
    <t>Recorded within two months after harvest; average thickness of 10 pod</t>
  </si>
  <si>
    <t xml:space="preserve">100 dry pods  weighed then shelled  </t>
  </si>
  <si>
    <t>Number of stem recorded from selected plants</t>
  </si>
  <si>
    <t>days</t>
  </si>
  <si>
    <t>number</t>
  </si>
  <si>
    <t>ratio</t>
  </si>
  <si>
    <t>mm</t>
  </si>
  <si>
    <t>g</t>
  </si>
  <si>
    <t>%</t>
  </si>
  <si>
    <t>Average percentage of 10 pods based on weight of mature seeds (at 12% moisture content)</t>
  </si>
  <si>
    <t xml:space="preserve">millimeters </t>
  </si>
  <si>
    <t xml:space="preserve">centimeters </t>
  </si>
  <si>
    <t xml:space="preserve">gram </t>
  </si>
  <si>
    <t>millimeters</t>
  </si>
  <si>
    <t xml:space="preserve">percentage </t>
  </si>
  <si>
    <t>Agronomy bay</t>
  </si>
  <si>
    <t>NOTT</t>
  </si>
  <si>
    <t>VstGMC_0009</t>
  </si>
  <si>
    <t>VstGMC_0144</t>
  </si>
  <si>
    <t>VstGMC_0289</t>
  </si>
  <si>
    <t>VstGMC_1276</t>
  </si>
  <si>
    <t>VstGMC_0118</t>
  </si>
  <si>
    <t>VstGMC_0476</t>
  </si>
  <si>
    <t>VstGMC_0484</t>
  </si>
  <si>
    <t>VstGMC_0536</t>
  </si>
  <si>
    <t>VstGMC_0231</t>
  </si>
  <si>
    <t>VstGMC_0790</t>
  </si>
  <si>
    <t>VstGMC_0793</t>
  </si>
  <si>
    <t>VstGMC_0792</t>
  </si>
  <si>
    <t>VstGMC_0089</t>
  </si>
  <si>
    <t>VstGMC_0032</t>
  </si>
  <si>
    <t>VstGMC_0286</t>
  </si>
  <si>
    <t>VstGMC_0329</t>
  </si>
  <si>
    <t>VstGMC_0335</t>
  </si>
  <si>
    <t>VstGMC_0390</t>
  </si>
  <si>
    <t>VstGMC_0385</t>
  </si>
  <si>
    <t>VstGMC_0696</t>
  </si>
  <si>
    <t>VstGMC_0754</t>
  </si>
  <si>
    <t>VstGMC_0753</t>
  </si>
  <si>
    <t>VstGMC_1903</t>
  </si>
  <si>
    <t>VstGMC_UNIS</t>
  </si>
  <si>
    <t>VstGMC_0968</t>
  </si>
  <si>
    <t>VstGMC_DODR</t>
  </si>
  <si>
    <t>VstGMC_0042</t>
  </si>
  <si>
    <t>VstGMC_0016</t>
  </si>
  <si>
    <t>VstGMC_1913</t>
  </si>
  <si>
    <t>VstGMC_MHNB</t>
  </si>
  <si>
    <t>VstGMC_BWA1</t>
  </si>
  <si>
    <t>VstGMC_BWA5</t>
  </si>
  <si>
    <t>VstGMC_0006</t>
  </si>
  <si>
    <t>VstGMC_RAMY</t>
  </si>
  <si>
    <t>VstGMC_HYBD</t>
  </si>
  <si>
    <t>Petiole length2</t>
  </si>
  <si>
    <t xml:space="preserve">UoN PhD project Odireleng Molosiwa, supervised by Sean Mayes </t>
  </si>
  <si>
    <t>DtE</t>
  </si>
  <si>
    <t>DtF</t>
  </si>
  <si>
    <t>DtM</t>
  </si>
  <si>
    <t>LLeaf nL</t>
  </si>
  <si>
    <t>lleafle</t>
  </si>
  <si>
    <t>LLeafleL</t>
  </si>
  <si>
    <t>IInternI</t>
  </si>
  <si>
    <t>PPetiolP</t>
  </si>
  <si>
    <t>PlP</t>
  </si>
  <si>
    <t>PPeduncP</t>
  </si>
  <si>
    <t>PPlant P</t>
  </si>
  <si>
    <t>PpP</t>
  </si>
  <si>
    <t>PdrP</t>
  </si>
  <si>
    <t>PPod wiP</t>
  </si>
  <si>
    <t>PPod leP</t>
  </si>
  <si>
    <t>SSeed wS</t>
  </si>
  <si>
    <t>SS</t>
  </si>
  <si>
    <t>sseed l</t>
  </si>
  <si>
    <t>SeS</t>
  </si>
  <si>
    <t>SW</t>
  </si>
  <si>
    <t>SShell S</t>
  </si>
  <si>
    <t>SShelliP</t>
  </si>
  <si>
    <t>NrN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</si>
</sst>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11" x14ac:knownFonts="1">
    <font>
      <sz val="11"/>
      <color theme="1"/>
      <name val="Calibri"/>
      <family val="2"/>
      <scheme val="minor"/>
    </font>
    <font>
      <b/>
      <sz val="11"/>
      <color theme="1"/>
      <name val="Calibri"/>
      <family val="2"/>
      <scheme val="minor"/>
    </font>
    <font>
      <sz val="11"/>
      <color rgb="FFFF0000"/>
      <name val="Calibri"/>
      <family val="2"/>
      <scheme val="minor"/>
    </font>
    <font>
      <sz val="12"/>
      <color theme="1"/>
      <name val="Calibri"/>
      <family val="2"/>
      <scheme val="minor"/>
    </font>
    <font>
      <u/>
      <sz val="11"/>
      <color theme="10"/>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sz val="8"/>
      <name val="Calibri"/>
      <family val="2"/>
      <scheme val="minor"/>
    </font>
    <font>
      <sz val="1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3" fillId="0" borderId="0"/>
    <xf numFmtId="0" fontId="4" fillId="0" borderId="0" applyNumberFormat="0" applyFill="0" applyBorder="0" applyAlignment="0" applyProtection="0"/>
    <xf numFmtId="0" fontId="2" fillId="0" borderId="0" applyNumberFormat="0" applyFill="0" applyBorder="0" applyAlignment="0" applyProtection="0"/>
  </cellStyleXfs>
  <cellXfs count="28">
    <xf numFmtId="0" fontId="0" fillId="0" borderId="0" xfId="0"/>
    <xf numFmtId="0" fontId="1" fillId="0" borderId="0" xfId="0" applyFont="1" applyAlignment="1">
      <alignment horizontal="left"/>
    </xf>
    <xf numFmtId="0" fontId="1" fillId="0" borderId="0" xfId="0" applyFont="1" applyAlignment="1">
      <alignment horizontal="center"/>
    </xf>
    <xf numFmtId="164" fontId="0" fillId="0" borderId="0" xfId="0" applyNumberFormat="1"/>
    <xf numFmtId="0" fontId="4" fillId="0" borderId="0" xfId="2" applyAlignment="1">
      <alignment vertical="top" wrapText="1"/>
    </xf>
    <xf numFmtId="0" fontId="5" fillId="0" borderId="0" xfId="0" applyFont="1"/>
    <xf numFmtId="0" fontId="5" fillId="0" borderId="0" xfId="0" applyFont="1" applyAlignment="1">
      <alignment vertical="top"/>
    </xf>
    <xf numFmtId="0" fontId="5" fillId="0" borderId="0" xfId="0" applyFont="1" applyAlignment="1">
      <alignment vertical="top" wrapText="1"/>
    </xf>
    <xf numFmtId="0" fontId="6" fillId="2" borderId="0" xfId="0" applyFont="1" applyFill="1" applyAlignment="1">
      <alignment vertical="top" wrapText="1"/>
    </xf>
    <xf numFmtId="0" fontId="5" fillId="2" borderId="0" xfId="0" applyFont="1" applyFill="1" applyAlignment="1">
      <alignment vertical="top" wrapText="1"/>
    </xf>
    <xf numFmtId="0" fontId="7" fillId="0" borderId="0" xfId="0" applyFont="1"/>
    <xf numFmtId="0" fontId="5" fillId="4" borderId="0" xfId="0" applyFont="1" applyFill="1" applyAlignment="1">
      <alignment wrapText="1"/>
    </xf>
    <xf numFmtId="0" fontId="6" fillId="3" borderId="0" xfId="0" applyFont="1" applyFill="1" applyAlignment="1">
      <alignment vertical="top"/>
    </xf>
    <xf numFmtId="0" fontId="5" fillId="3" borderId="0" xfId="0" applyFont="1" applyFill="1" applyAlignment="1">
      <alignment wrapText="1"/>
    </xf>
    <xf numFmtId="49" fontId="5" fillId="0" borderId="0" xfId="0" applyNumberFormat="1" applyFont="1" applyAlignment="1">
      <alignment vertical="top" wrapText="1"/>
    </xf>
    <xf numFmtId="0" fontId="8" fillId="0" borderId="0" xfId="0" applyFont="1" applyAlignment="1">
      <alignment vertical="top" wrapText="1"/>
    </xf>
    <xf numFmtId="49" fontId="8" fillId="0" borderId="0" xfId="0" applyNumberFormat="1" applyFont="1" applyAlignment="1">
      <alignment vertical="top" wrapText="1"/>
    </xf>
    <xf numFmtId="0" fontId="8" fillId="0" borderId="0" xfId="0" applyFont="1"/>
    <xf numFmtId="49" fontId="8" fillId="0" borderId="0" xfId="0" applyNumberFormat="1" applyFont="1"/>
    <xf numFmtId="0" fontId="0" fillId="0" borderId="0" xfId="0" applyAlignment="1">
      <alignment vertical="top" wrapText="1"/>
    </xf>
    <xf numFmtId="0" fontId="2" fillId="0" borderId="0" xfId="3" applyAlignment="1">
      <alignment vertical="top"/>
    </xf>
    <xf numFmtId="0" fontId="2" fillId="0" borderId="0" xfId="3"/>
    <xf numFmtId="0" fontId="2" fillId="0" borderId="0" xfId="3" applyAlignment="1">
      <alignment horizontal="left"/>
    </xf>
    <xf numFmtId="0" fontId="0" fillId="0" borderId="0" xfId="0" applyAlignment="1">
      <alignment vertical="top"/>
    </xf>
    <xf numFmtId="0" fontId="0" fillId="0" borderId="0" xfId="2" applyFont="1" applyAlignment="1">
      <alignment vertical="top" wrapText="1"/>
    </xf>
    <xf numFmtId="0" fontId="1" fillId="4" borderId="0" xfId="0" applyFont="1" applyFill="1" applyAlignment="1">
      <alignment vertical="top"/>
    </xf>
    <xf numFmtId="0" fontId="5" fillId="5" borderId="0" xfId="0" applyFont="1" applyFill="1" applyAlignment="1">
      <alignment vertical="top" wrapText="1"/>
    </xf>
    <xf numFmtId="0" fontId="10" fillId="0" borderId="0" xfId="0" applyFont="1" applyAlignment="1">
      <alignment vertical="top"/>
    </xf>
  </cellXfs>
  <cellStyles count="4">
    <cellStyle name="Hyperlink" xfId="2" builtinId="8"/>
    <cellStyle name="Normal" xfId="0" builtinId="0"/>
    <cellStyle name="Normal 4" xfId="1" xr:uid="{AC6FD0CA-C916-4E1F-8927-7A9CF5AB4487}"/>
    <cellStyle name="Warning Text" xfId="3" builtinId="11"/>
  </cellStyles>
  <dxfs count="28">
    <dxf>
      <fill>
        <patternFill>
          <bgColor theme="7" tint="0.79998168889431442"/>
        </patternFill>
      </fill>
    </dxf>
    <dxf>
      <fill>
        <patternFill>
          <bgColor theme="7" tint="0.79998168889431442"/>
        </patternFill>
      </fill>
    </dxf>
    <dxf>
      <fill>
        <patternFill>
          <bgColor theme="7" tint="0.79998168889431442"/>
        </patternFill>
      </fill>
    </dxf>
    <dxf>
      <numFmt numFmtId="164" formatCode="yyyymmdd"/>
    </dxf>
    <dxf>
      <numFmt numFmtId="164" formatCode="yyyymmdd"/>
    </dxf>
    <dxf>
      <numFmt numFmtId="164" formatCode="yyyymmdd"/>
    </dxf>
    <dxf>
      <numFmt numFmtId="0" formatCode="General"/>
    </dxf>
    <dxf>
      <numFmt numFmtId="0" formatCode="General"/>
    </dxf>
    <dxf>
      <numFmt numFmtId="0" formatCode="General"/>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numFmt numFmtId="30" formatCode="@"/>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alignment horizontal="general" vertical="top" textRotation="0" wrapText="0"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7"/>
      <tableStyleElement type="headerRow"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DFAA9A6-0123-422D-B80F-81EB2270DAA0}" name="Table7" displayName="Table7" ref="A1:C18" totalsRowShown="0" headerRowDxfId="24" dataDxfId="23">
  <autoFilter ref="A1:C18" xr:uid="{DCA4608A-E2D9-45F1-81E3-F49396F38526}"/>
  <tableColumns count="3">
    <tableColumn id="1" xr3:uid="{1E03C996-7263-422B-8AA0-13669C78161F}" name="LABEL" dataDxfId="22"/>
    <tableColumn id="2" xr3:uid="{A20F043F-90CD-41BB-866B-522B95F3EC18}" name="DEFINITION" dataDxfId="21"/>
    <tableColumn id="3" xr3:uid="{139364FF-5D24-40BF-A84C-CF209A3E5D65}" name="VALU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F6150C-EB7C-4511-B47B-2F8122570053}" name="Table136" displayName="Table136" ref="A1:J28" totalsRowShown="0">
  <autoFilter ref="A1:J28" xr:uid="{4E670C69-5459-4D42-BBD4-1C0FE57A115B}"/>
  <tableColumns count="10">
    <tableColumn id="1" xr3:uid="{7A9D9CB2-5A72-4610-AB48-E51B9D320089}" name="Name" dataDxfId="25"/>
    <tableColumn id="2" xr3:uid="{E96E90FF-566D-4FFD-82F1-51DBFC5414D9}" name="Short Name"/>
    <tableColumn id="3" xr3:uid="{40088974-32A7-4DF8-B510-4933C37FC25F}" name="Description"/>
    <tableColumn id="4" xr3:uid="{DAD80930-1355-4EB6-A264-410F67F077B5}" name="Data Type"/>
    <tableColumn id="5" xr3:uid="{9C022EC0-8F41-444A-B3C7-1C5FF976B81F}" name="Unit Name"/>
    <tableColumn id="6" xr3:uid="{683EBBF5-4181-4261-8301-D1B5F7B45877}" name="Unit Abbreviation"/>
    <tableColumn id="7" xr3:uid="{DE7BC6FF-1EF8-438D-BCE4-16C83D0CB188}" name="Unit Descriptions"/>
    <tableColumn id="8" xr3:uid="{F0A8842E-035A-489D-85ED-9A856618A31C}" name="Trait categories (comma separated)"/>
    <tableColumn id="9" xr3:uid="{33440BAE-1141-4F5B-9E00-4E91B738E873}" name="Min (only for numeric traits)"/>
    <tableColumn id="10" xr3:uid="{3BB72CFF-4CE5-48BF-899E-D8A314EEB697}" name="Max (only for numeric trai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E566EA-CF41-4BD4-A877-BF1A04CBE27C}" name="Table47" displayName="Table47" ref="A1:AK106" totalsRowShown="0">
  <autoFilter ref="A1:AK106" xr:uid="{C24E8378-3794-454E-84CF-B08C2B5A27D2}"/>
  <tableColumns count="37">
    <tableColumn id="1" xr3:uid="{CCD80E05-5388-423E-BBDC-2354AB7B8FC3}" name="Line/Phenotype"/>
    <tableColumn id="2" xr3:uid="{466AEB02-1AD0-430A-B6D8-FF71A9F751B4}" name="Rep"/>
    <tableColumn id="8" xr3:uid="{B32A4B56-1C05-4F7B-B51B-4FA3967354E2}" name="Block"/>
    <tableColumn id="9" xr3:uid="{2ED92832-AD7D-4A22-8917-F561E101C555}" name="Row"/>
    <tableColumn id="10" xr3:uid="{61C248C8-9EF3-432C-BE20-51527617EB5B}" name="Column"/>
    <tableColumn id="7" xr3:uid="{40C0F606-B99C-4595-806C-A7295CC796D9}" name="Treatment"/>
    <tableColumn id="3" xr3:uid="{8EE9A1A1-AEF3-490F-B2E4-D6A460210A54}" name="Location"/>
    <tableColumn id="4" xr3:uid="{69C9CE63-BD11-4E4B-957D-A99D3AA2F63C}" name="Latitude"/>
    <tableColumn id="5" xr3:uid="{67FFEBA5-AD32-417A-987A-2C040AA24764}" name="Longitude"/>
    <tableColumn id="6" xr3:uid="{D986DFA6-2CBB-40DF-84E8-21CC5C183E1E}" name="Elevation"/>
    <tableColumn id="11" xr3:uid="{6B071E0A-1826-46DE-B1BC-BFAA44CDD2A3}" name="Days to Emergence"/>
    <tableColumn id="12" xr3:uid="{E4244918-C808-48C2-B9FA-ACFE9EC492F8}" name="Days to 50% Flowering"/>
    <tableColumn id="13" xr3:uid="{D4C18D38-B76B-4907-922B-45510ED1BA70}" name="Days to Maturity"/>
    <tableColumn id="14" xr3:uid="{D72352E2-397C-4EBF-9648-B05CB32FAA8A}" name="Leaf number"/>
    <tableColumn id="15" xr3:uid="{8610B834-743D-4956-A9AC-FDA9BE7356BA}" name="leaflet length"/>
    <tableColumn id="16" xr3:uid="{88A779CF-BB95-4063-A3C6-DB17DC03E984}" name="Leaflet width"/>
    <tableColumn id="17" xr3:uid="{1A1458F5-8FCE-42BD-899C-1A5B5F53701C}" name="Internode length"/>
    <tableColumn id="18" xr3:uid="{A61C86B8-383B-4B54-AD58-E04B416A3695}" name="Petiole length"/>
    <tableColumn id="19" xr3:uid="{8B437E30-E8D9-4680-A006-D2715AC55B7B}" name="Petiole-internode ratio"/>
    <tableColumn id="20" xr3:uid="{84707B33-0D6F-4047-A1DB-605CA043FFFB}" name="Petiole length2"/>
    <tableColumn id="21" xr3:uid="{947C6A5B-6AB4-48AC-968D-7183AA26B9FC}" name="Peduncle length"/>
    <tableColumn id="22" xr3:uid="{F5602B92-2B12-4AB2-9C12-FCF4B1ABF45D}" name="Plant spread"/>
    <tableColumn id="23" xr3:uid="{A437DCEF-F198-4BA8-A68A-30D5F430F215}" name="Plant height"/>
    <tableColumn id="24" xr3:uid="{E14E13DD-6877-411D-B3E8-85037BC6D820}" name="Pods per plant"/>
    <tableColumn id="25" xr3:uid="{A62645E3-B811-43B5-9335-81E6B5EBF28B}" name="Pod dry weight"/>
    <tableColumn id="26" xr3:uid="{29A166B4-C6E6-463A-970C-ACCB95E07678}" name="Pod width"/>
    <tableColumn id="27" xr3:uid="{7F359FAC-B639-4538-A5FE-889C8DBDA131}" name="Pod length"/>
    <tableColumn id="28" xr3:uid="{E331B6B8-E8D1-4BED-A55B-C0D51F652478}" name="Seed weight"/>
    <tableColumn id="29" xr3:uid="{D18AF12B-EE68-4AFA-A637-DA5A35871FEE}" name="Seed width"/>
    <tableColumn id="30" xr3:uid="{2187272B-DDAA-42BB-9D73-20FCBE02B23D}" name="Seeds per plant"/>
    <tableColumn id="31" xr3:uid="{13E9F8D5-5E3F-4249-BE48-283D8BDCF002}" name="seed length"/>
    <tableColumn id="32" xr3:uid="{8058A3B8-069E-467D-AC8D-649F1E3D8C0B}" name="Single seed weight"/>
    <tableColumn id="33" xr3:uid="{17FF771D-4A96-44D1-B2C9-D683CA082FFB}" name="Shoot Dry Weight"/>
    <tableColumn id="34" xr3:uid="{9F4C8BBA-5A80-4FCC-93B9-D82D2206F91A}" name="Shell thickness"/>
    <tableColumn id="35" xr3:uid="{781B7F5C-34D0-4C9A-8958-B5C54A541D09}" name="Shell weight"/>
    <tableColumn id="36" xr3:uid="{B9AB403D-2789-4FD5-92E9-4850B4DB767C}" name="Shelling %"/>
    <tableColumn id="37" xr3:uid="{560CF2B9-2E37-49B4-A953-4B05BC548EBB}" name="Number of stem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E9D794-B34F-44CE-84F6-AA0D14CDB5C6}" name="Table4411" displayName="Table4411" ref="A1:J2" insertRow="1" totalsRowShown="0">
  <autoFilter ref="A1:J2" xr:uid="{7A5E0959-3CB3-48DB-A1FB-2A58B80F3191}"/>
  <tableColumns count="10">
    <tableColumn id="1" xr3:uid="{4C72BB57-561C-4C97-9A88-82A2D428A82A}" name="Line/Phenotype"/>
    <tableColumn id="7" xr3:uid="{D9EE74B9-83DA-4C06-B461-5A4F7DC2FD15}" name="Rep"/>
    <tableColumn id="4" xr3:uid="{57727AAB-E4BF-42AD-962C-0DBC24A599A0}" name="Block"/>
    <tableColumn id="9" xr3:uid="{01A0EDA9-30E9-4526-A528-8A71ADD7B449}" name="Row"/>
    <tableColumn id="10" xr3:uid="{C40DC8EF-6D3A-43F0-B3FC-4A7CF45DCFE4}" name="Column"/>
    <tableColumn id="2" xr3:uid="{233E7CDA-E23F-4F59-95B7-C14E55E139E2}" name="Treatment"/>
    <tableColumn id="3" xr3:uid="{9976F5CF-934C-4F0C-8E8C-314FBD437428}" name="Location"/>
    <tableColumn id="5" xr3:uid="{2F3B018F-D870-41DE-A4AF-30757F61E6A4}" name="Latitude"/>
    <tableColumn id="6" xr3:uid="{8AFBB6FA-5BB0-4119-9890-AECAE760BE7C}" name="Longitude"/>
    <tableColumn id="8" xr3:uid="{5C5F4AEC-9A07-4522-92E5-02F8A657C494}" name="Elevati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617974-7B97-4C3B-BA5A-15C9DF6B5915}" name="Table1" displayName="Table1" ref="A1:C2" totalsRowShown="0">
  <autoFilter ref="A1:C2" xr:uid="{AFAF2A04-D11A-4761-ABA6-DA7D533456A3}"/>
  <tableColumns count="3">
    <tableColumn id="1" xr3:uid="{6687827E-20FF-44CC-820C-7FCA95E05637}" name="Attribute"/>
    <tableColumn id="3" xr3:uid="{E9386995-F6BE-45FD-B47F-6F50A0356B8E}" name="Type"/>
    <tableColumn id="2" xr3:uid="{9A9860D2-E2EF-4AF1-AF01-F935BF554D92}" name="Val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BDF020-ABCA-4439-B958-8014090B32CC}" name="Table8" displayName="Table8" ref="A1:I2" totalsRowShown="0" headerRowDxfId="19" dataDxfId="18">
  <autoFilter ref="A1:I2" xr:uid="{1B38FBA2-DC2A-4EE8-9782-869C402F129F}"/>
  <tableColumns count="9">
    <tableColumn id="2" xr3:uid="{11A585B5-EAF2-4086-9D85-0D60A53887C4}" name="Last Name" dataDxfId="17"/>
    <tableColumn id="3" xr3:uid="{4077ACA3-84ED-4981-AB4E-365AEBA76825}" name="First Name" dataDxfId="16"/>
    <tableColumn id="9" xr3:uid="{B35B0A33-6132-493B-9131-6BA92C731A13}" name="Contributor role" dataDxfId="15"/>
    <tableColumn id="6" xr3:uid="{901F3798-43D3-40F0-8C23-0793303EE87C}" name="Contributor ID" dataDxfId="14"/>
    <tableColumn id="4" xr3:uid="{0A90BD52-57A6-4CDE-BA8E-5136E8A1EAB8}" name="Email" dataDxfId="13"/>
    <tableColumn id="5" xr3:uid="{03F1C9C1-7B2C-4F0C-B099-1F465D301B93}" name="Phone" dataDxfId="12"/>
    <tableColumn id="7" xr3:uid="{65BCBC93-FC74-4E14-B6A5-BF465AB5D91D}" name="Contributor" dataDxfId="11"/>
    <tableColumn id="8" xr3:uid="{5C332E95-780E-414E-B1E2-86318BE35F31}" name="Address" dataDxfId="10"/>
    <tableColumn id="1" xr3:uid="{9A8DCFA6-0AF2-4BA7-95EB-E0D0FE3A6153}" name="Country"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4BDA44A-CD87-4E45-AED3-C04513F7E914}" name="Table9" displayName="Table9" ref="A1:F2" totalsRowShown="0">
  <autoFilter ref="A1:F2" xr:uid="{F62B6A96-E1F2-40B5-8B32-4E4F94F6494A}"/>
  <tableColumns count="6">
    <tableColumn id="1" xr3:uid="{8A8F49BB-5B5C-4DA6-BCFF-0458FF526B9E}" name="Name"/>
    <tableColumn id="2" xr3:uid="{5863ACB9-3750-47DF-B55F-40C0B119E7E4}" name="Short name"/>
    <tableColumn id="3" xr3:uid="{C3E73087-AAA0-4C32-A529-1FB205F5DCCE}" name="Country"/>
    <tableColumn id="4" xr3:uid="{ECF010CE-69C0-49B6-84B9-F22057CDAFB0}" name="Elevation"/>
    <tableColumn id="5" xr3:uid="{A7D62594-421F-420D-AF72-E3320E9B4E38}" name="Latitude"/>
    <tableColumn id="6" xr3:uid="{1F86E5D8-33FD-45F7-87AD-13D2B6EDCA41}" name="Longitud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286F7D8-1BF5-4BEE-B3C7-5B05DC94F35F}" name="Table912" displayName="Table912" ref="A1:F3" totalsRowShown="0">
  <autoFilter ref="A1:F3" xr:uid="{AF4606A7-A239-4229-872E-C0E19378E716}"/>
  <tableColumns count="6">
    <tableColumn id="1" xr3:uid="{0816BB14-4B0A-42A6-A418-DEF17CE64119}" name="Name"/>
    <tableColumn id="2" xr3:uid="{8CAB4FE7-3F5A-40C9-A4AD-D8A83C4DAE63}" name="Short name"/>
    <tableColumn id="3" xr3:uid="{8207682A-53B0-41B5-9E58-08B178587DB2}" name="Country"/>
    <tableColumn id="4" xr3:uid="{8EE06D1F-C91E-4B52-B65C-73E4021B3BA2}" name="Elevation"/>
    <tableColumn id="5" xr3:uid="{46BED72F-DD99-423F-BBBF-C7582566C178}" name="Latitude"/>
    <tableColumn id="6" xr3:uid="{625E57C8-CC0D-4812-91EC-5E30BDF78D26}" name="Longitud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1:J5" totalsRowShown="0">
  <autoFilter ref="A1:J5" xr:uid="{00000000-0009-0000-0100-000002000000}"/>
  <tableColumns count="10">
    <tableColumn id="1" xr3:uid="{00000000-0010-0000-0100-000001000000}" name="Name"/>
    <tableColumn id="2" xr3:uid="{00000000-0010-0000-0100-000002000000}" name="Short Name"/>
    <tableColumn id="3" xr3:uid="{00000000-0010-0000-0100-000003000000}" name="Description"/>
    <tableColumn id="4" xr3:uid="{00000000-0010-0000-0100-000004000000}" name="Data Type"/>
    <tableColumn id="5" xr3:uid="{00000000-0010-0000-0100-000005000000}" name="Unit Name"/>
    <tableColumn id="6" xr3:uid="{00000000-0010-0000-0100-000006000000}" name="Unit Abbreviation"/>
    <tableColumn id="7" xr3:uid="{00000000-0010-0000-0100-000007000000}" name="Unit Descriptions"/>
    <tableColumn id="8" xr3:uid="{4373A1C3-2A30-43A1-B715-28F976E1B901}" name="Trait categories (comma separated)"/>
    <tableColumn id="9" xr3:uid="{1140C57E-8F80-4173-B9E2-20FEA5F07CF8}" name="Min (only for numeric traits)"/>
    <tableColumn id="10" xr3:uid="{313A800B-A94E-4585-938C-59EE11C83AE8}" name="Max (only for numeric trait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N12" totalsRowShown="0">
  <autoFilter ref="A1:N12" xr:uid="{00000000-0009-0000-0100-000004000000}"/>
  <tableColumns count="14">
    <tableColumn id="1" xr3:uid="{00000000-0010-0000-0200-000001000000}" name="Line/Phenotype"/>
    <tableColumn id="2" xr3:uid="{CB956365-108C-47D3-B28E-EBDFD6E16995}" name="Rep"/>
    <tableColumn id="9" xr3:uid="{8C52E70E-74F2-424A-8F55-980BEB83541C}" name="Block"/>
    <tableColumn id="13" xr3:uid="{20544D5A-2E37-40C0-8903-7DFE8E1801E4}" name="Row"/>
    <tableColumn id="14" xr3:uid="{CE255CEA-3127-418C-9432-3F63F51FD781}" name="Column"/>
    <tableColumn id="7" xr3:uid="{88B30358-C3FE-4E11-B08D-42FB21CD6479}" name="Treatment"/>
    <tableColumn id="8" xr3:uid="{13CC7C54-6C19-41EF-BA0D-75E84678E993}" name="Location"/>
    <tableColumn id="10" xr3:uid="{4DB6F789-093F-4C73-B982-C2E54070E165}" name="Latitude" dataDxfId="8"/>
    <tableColumn id="11" xr3:uid="{7DF6B222-3988-4F46-991B-F6C2F213B41D}" name="Longitude" dataDxfId="7"/>
    <tableColumn id="12" xr3:uid="{55ED41BA-9315-4A55-B989-C3614B9C3340}" name="Elevation" dataDxfId="6"/>
    <tableColumn id="3" xr3:uid="{00000000-0010-0000-0200-000003000000}" name="Ear length"/>
    <tableColumn id="4" xr3:uid="{00000000-0010-0000-0200-000004000000}" name="Ear number per plant"/>
    <tableColumn id="6" xr3:uid="{00000000-0010-0000-0200-000006000000}" name="Ear width"/>
    <tableColumn id="5" xr3:uid="{94FDE0E0-F1A3-40A4-A9F2-94E991F88AD7}" name="Growth typ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44" displayName="Table44" ref="A1:M12" totalsRowShown="0">
  <autoFilter ref="A1:M12" xr:uid="{00000000-0009-0000-0100-000003000000}"/>
  <tableColumns count="13">
    <tableColumn id="1" xr3:uid="{00000000-0010-0000-0300-000001000000}" name="Line/Phenotype"/>
    <tableColumn id="7" xr3:uid="{F56FA6B6-097B-4A91-BE3C-84316559494C}" name="Rep"/>
    <tableColumn id="8" xr3:uid="{B1199833-CBFA-4386-8BC3-8225F4549F7B}" name="Block"/>
    <tableColumn id="13" xr3:uid="{441254E5-D6C5-45FE-B862-378E41EA89AB}" name="Row"/>
    <tableColumn id="12" xr3:uid="{2C43E794-883F-4CC3-86B1-A954A5AD1894}" name="Column"/>
    <tableColumn id="2" xr3:uid="{372B6450-E223-4B62-BE37-A66868D227D6}" name="Treatment"/>
    <tableColumn id="5" xr3:uid="{5F0A8F5E-5F8D-498B-AA15-759C67F77D36}" name="Location"/>
    <tableColumn id="11" xr3:uid="{907497DD-05CD-436D-8F9D-C9733135B6D1}" name="Latitude"/>
    <tableColumn id="10" xr3:uid="{F68843F4-17C8-471E-8FEA-8A1CF9BD7F9F}" name="Longitude"/>
    <tableColumn id="9" xr3:uid="{97B62C49-64CB-4474-93B9-41298499FF28}" name="Elevation"/>
    <tableColumn id="3" xr3:uid="{00000000-0010-0000-0300-000003000000}" name="Ear length" dataDxfId="5"/>
    <tableColumn id="4" xr3:uid="{00000000-0010-0000-0300-000004000000}" name="Ear number per plant" dataDxfId="4"/>
    <tableColumn id="6" xr3:uid="{00000000-0010-0000-0300-000006000000}" name="Ear width"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zoomScale="106" zoomScaleNormal="106" workbookViewId="0">
      <selection activeCell="C2" sqref="C2"/>
    </sheetView>
  </sheetViews>
  <sheetFormatPr defaultColWidth="9.1796875" defaultRowHeight="14.5" x14ac:dyDescent="0.35"/>
  <cols>
    <col min="1" max="1" width="22.7265625" style="5" bestFit="1" customWidth="1"/>
    <col min="2" max="2" width="70.453125" style="5" customWidth="1"/>
    <col min="3" max="3" width="108.26953125" style="5" customWidth="1"/>
    <col min="4" max="4" width="9.1796875" style="5"/>
    <col min="5" max="5" width="13.453125" style="5" customWidth="1"/>
    <col min="6" max="6" width="15.1796875" style="5" customWidth="1"/>
    <col min="7" max="16384" width="9.1796875" style="5"/>
  </cols>
  <sheetData>
    <row r="1" spans="1:3" x14ac:dyDescent="0.35">
      <c r="A1" s="5" t="s">
        <v>34</v>
      </c>
      <c r="B1" s="5" t="s">
        <v>35</v>
      </c>
      <c r="C1" s="5" t="s">
        <v>55</v>
      </c>
    </row>
    <row r="2" spans="1:3" ht="29" x14ac:dyDescent="0.35">
      <c r="A2" s="20" t="s">
        <v>36</v>
      </c>
      <c r="B2" s="7" t="s">
        <v>45</v>
      </c>
      <c r="C2" s="26" t="s">
        <v>220</v>
      </c>
    </row>
    <row r="3" spans="1:3" ht="43.5" x14ac:dyDescent="0.35">
      <c r="A3" s="20" t="s">
        <v>2</v>
      </c>
      <c r="B3" s="7" t="s">
        <v>46</v>
      </c>
      <c r="C3" s="26" t="s">
        <v>117</v>
      </c>
    </row>
    <row r="4" spans="1:3" ht="43.5" x14ac:dyDescent="0.35">
      <c r="A4" s="6" t="s">
        <v>37</v>
      </c>
      <c r="B4" s="7" t="s">
        <v>47</v>
      </c>
      <c r="C4" s="7"/>
    </row>
    <row r="5" spans="1:3" ht="58" x14ac:dyDescent="0.35">
      <c r="A5" s="6" t="s">
        <v>38</v>
      </c>
      <c r="B5" s="7" t="s">
        <v>48</v>
      </c>
      <c r="C5" s="14"/>
    </row>
    <row r="6" spans="1:3" ht="43.5" x14ac:dyDescent="0.35">
      <c r="A6" s="6" t="s">
        <v>39</v>
      </c>
      <c r="B6" s="7" t="s">
        <v>40</v>
      </c>
      <c r="C6" s="7"/>
    </row>
    <row r="7" spans="1:3" ht="43.5" x14ac:dyDescent="0.35">
      <c r="A7" s="6" t="s">
        <v>41</v>
      </c>
      <c r="B7" s="7" t="s">
        <v>49</v>
      </c>
      <c r="C7" s="7"/>
    </row>
    <row r="8" spans="1:3" ht="29" x14ac:dyDescent="0.35">
      <c r="A8" s="6" t="s">
        <v>42</v>
      </c>
      <c r="B8" s="7" t="s">
        <v>50</v>
      </c>
      <c r="C8" s="7"/>
    </row>
    <row r="9" spans="1:3" ht="58" x14ac:dyDescent="0.35">
      <c r="A9" s="6" t="s">
        <v>43</v>
      </c>
      <c r="B9" s="7" t="s">
        <v>51</v>
      </c>
      <c r="C9" s="7"/>
    </row>
    <row r="10" spans="1:3" ht="58" x14ac:dyDescent="0.35">
      <c r="A10" s="6" t="s">
        <v>44</v>
      </c>
      <c r="B10" s="7" t="s">
        <v>52</v>
      </c>
      <c r="C10" s="7"/>
    </row>
    <row r="11" spans="1:3" ht="43.5" x14ac:dyDescent="0.35">
      <c r="A11" s="6" t="s">
        <v>53</v>
      </c>
      <c r="B11" s="7" t="s">
        <v>54</v>
      </c>
      <c r="C11" s="7"/>
    </row>
    <row r="12" spans="1:3" x14ac:dyDescent="0.35">
      <c r="A12" s="6" t="s">
        <v>4</v>
      </c>
      <c r="B12" s="7" t="s">
        <v>67</v>
      </c>
      <c r="C12" s="4"/>
    </row>
    <row r="13" spans="1:3" x14ac:dyDescent="0.35">
      <c r="A13" s="23" t="s">
        <v>98</v>
      </c>
      <c r="B13" s="19" t="s">
        <v>99</v>
      </c>
      <c r="C13" s="24"/>
    </row>
    <row r="14" spans="1:3" x14ac:dyDescent="0.35">
      <c r="A14" s="23" t="s">
        <v>100</v>
      </c>
      <c r="B14" s="19" t="s">
        <v>101</v>
      </c>
      <c r="C14" s="24"/>
    </row>
    <row r="15" spans="1:3" ht="43.5" x14ac:dyDescent="0.35">
      <c r="A15" s="23" t="s">
        <v>102</v>
      </c>
      <c r="B15" s="19" t="s">
        <v>103</v>
      </c>
      <c r="C15" s="24"/>
    </row>
    <row r="16" spans="1:3" ht="43.5" x14ac:dyDescent="0.35">
      <c r="A16" s="23" t="s">
        <v>104</v>
      </c>
      <c r="B16" s="19" t="s">
        <v>105</v>
      </c>
      <c r="C16" s="24"/>
    </row>
    <row r="17" spans="1:3" ht="29" x14ac:dyDescent="0.35">
      <c r="A17" s="23" t="s">
        <v>106</v>
      </c>
      <c r="B17" s="19" t="s">
        <v>107</v>
      </c>
      <c r="C17" s="24"/>
    </row>
    <row r="18" spans="1:3" x14ac:dyDescent="0.35">
      <c r="A18" s="23" t="s">
        <v>108</v>
      </c>
      <c r="B18" s="19" t="s">
        <v>109</v>
      </c>
      <c r="C18" s="24"/>
    </row>
    <row r="19" spans="1:3" x14ac:dyDescent="0.35">
      <c r="A19" s="6"/>
      <c r="B19" s="7"/>
      <c r="C19" s="7"/>
    </row>
    <row r="20" spans="1:3" x14ac:dyDescent="0.35">
      <c r="A20" s="7"/>
    </row>
    <row r="21" spans="1:3" ht="159.5" x14ac:dyDescent="0.35">
      <c r="A21" s="8" t="s">
        <v>6</v>
      </c>
      <c r="B21" s="9" t="s">
        <v>28</v>
      </c>
    </row>
    <row r="22" spans="1:3" x14ac:dyDescent="0.35">
      <c r="A22" s="7"/>
    </row>
    <row r="24" spans="1:3" x14ac:dyDescent="0.35">
      <c r="B24" s="10"/>
    </row>
    <row r="25" spans="1:3" ht="58" x14ac:dyDescent="0.35">
      <c r="A25" s="25" t="s">
        <v>11</v>
      </c>
      <c r="B25" s="11" t="s">
        <v>114</v>
      </c>
    </row>
    <row r="27" spans="1:3" ht="29" x14ac:dyDescent="0.35">
      <c r="A27" s="12" t="s">
        <v>12</v>
      </c>
      <c r="B27" s="13" t="s">
        <v>33</v>
      </c>
    </row>
  </sheetData>
  <conditionalFormatting sqref="C2:C3">
    <cfRule type="containsBlanks" dxfId="2" priority="1">
      <formula>LEN(TRIM(C2))=0</formula>
    </cfRule>
  </conditionalFormatting>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8"/>
  <sheetViews>
    <sheetView tabSelected="1" topLeftCell="A27" workbookViewId="0">
      <selection activeCell="B2" sqref="B2:B28"/>
    </sheetView>
  </sheetViews>
  <sheetFormatPr defaultRowHeight="14.5" x14ac:dyDescent="0.35"/>
  <cols>
    <col min="1" max="1" width="19.81640625" bestFit="1" customWidth="1"/>
    <col min="2" max="2" width="13.7265625" bestFit="1" customWidth="1"/>
    <col min="3" max="3" width="118" bestFit="1" customWidth="1"/>
    <col min="4" max="4" width="12" bestFit="1" customWidth="1"/>
    <col min="5" max="5" width="16.7265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 min="12" max="12" width="18.26953125" bestFit="1" customWidth="1"/>
  </cols>
  <sheetData>
    <row r="1" spans="1:12" x14ac:dyDescent="0.35">
      <c r="A1" s="21" t="s">
        <v>0</v>
      </c>
      <c r="B1" t="s">
        <v>1</v>
      </c>
      <c r="C1" t="s">
        <v>2</v>
      </c>
      <c r="D1" s="21" t="s">
        <v>3</v>
      </c>
      <c r="E1" t="s">
        <v>10</v>
      </c>
      <c r="F1" t="s">
        <v>8</v>
      </c>
      <c r="G1" t="s">
        <v>9</v>
      </c>
      <c r="H1" t="s">
        <v>75</v>
      </c>
      <c r="I1" t="s">
        <v>77</v>
      </c>
      <c r="J1" t="s">
        <v>78</v>
      </c>
      <c r="L1" t="s">
        <v>74</v>
      </c>
    </row>
    <row r="2" spans="1:12" x14ac:dyDescent="0.35">
      <c r="A2" s="27" t="s">
        <v>118</v>
      </c>
      <c r="B2" t="s">
        <v>221</v>
      </c>
      <c r="C2" t="s">
        <v>144</v>
      </c>
      <c r="D2" t="s">
        <v>85</v>
      </c>
      <c r="E2" t="s">
        <v>170</v>
      </c>
      <c r="G2" t="s">
        <v>170</v>
      </c>
      <c r="L2" t="s">
        <v>85</v>
      </c>
    </row>
    <row r="3" spans="1:12" x14ac:dyDescent="0.35">
      <c r="A3" s="27" t="s">
        <v>119</v>
      </c>
      <c r="B3" t="s">
        <v>222</v>
      </c>
      <c r="C3" t="s">
        <v>145</v>
      </c>
      <c r="D3" t="s">
        <v>85</v>
      </c>
      <c r="E3" t="s">
        <v>170</v>
      </c>
      <c r="G3" t="s">
        <v>170</v>
      </c>
      <c r="L3" t="s">
        <v>86</v>
      </c>
    </row>
    <row r="4" spans="1:12" x14ac:dyDescent="0.35">
      <c r="A4" s="27" t="s">
        <v>120</v>
      </c>
      <c r="B4" t="s">
        <v>223</v>
      </c>
      <c r="C4" t="s">
        <v>146</v>
      </c>
      <c r="D4" t="s">
        <v>85</v>
      </c>
      <c r="E4" t="s">
        <v>170</v>
      </c>
      <c r="G4" t="s">
        <v>170</v>
      </c>
      <c r="L4" t="s">
        <v>87</v>
      </c>
    </row>
    <row r="5" spans="1:12" x14ac:dyDescent="0.35">
      <c r="A5" s="27" t="s">
        <v>121</v>
      </c>
      <c r="B5" t="s">
        <v>224</v>
      </c>
      <c r="C5" t="s">
        <v>147</v>
      </c>
      <c r="D5" t="s">
        <v>85</v>
      </c>
      <c r="E5" t="s">
        <v>171</v>
      </c>
      <c r="G5" t="s">
        <v>171</v>
      </c>
      <c r="L5" t="s">
        <v>76</v>
      </c>
    </row>
    <row r="6" spans="1:12" x14ac:dyDescent="0.35">
      <c r="A6" s="27" t="s">
        <v>122</v>
      </c>
      <c r="B6" t="s">
        <v>225</v>
      </c>
      <c r="C6" t="s">
        <v>148</v>
      </c>
      <c r="D6" t="s">
        <v>85</v>
      </c>
      <c r="E6" t="s">
        <v>177</v>
      </c>
      <c r="F6" t="s">
        <v>173</v>
      </c>
      <c r="G6" t="s">
        <v>177</v>
      </c>
    </row>
    <row r="7" spans="1:12" x14ac:dyDescent="0.35">
      <c r="A7" s="27" t="s">
        <v>123</v>
      </c>
      <c r="B7" t="s">
        <v>226</v>
      </c>
      <c r="C7" t="s">
        <v>149</v>
      </c>
      <c r="D7" t="s">
        <v>85</v>
      </c>
      <c r="E7" t="s">
        <v>177</v>
      </c>
      <c r="F7" t="s">
        <v>173</v>
      </c>
      <c r="G7" t="s">
        <v>177</v>
      </c>
    </row>
    <row r="8" spans="1:12" x14ac:dyDescent="0.35">
      <c r="A8" s="27" t="s">
        <v>124</v>
      </c>
      <c r="B8" t="s">
        <v>227</v>
      </c>
      <c r="C8" t="s">
        <v>150</v>
      </c>
      <c r="D8" t="s">
        <v>85</v>
      </c>
      <c r="E8" t="s">
        <v>177</v>
      </c>
      <c r="F8" t="s">
        <v>173</v>
      </c>
      <c r="G8" t="s">
        <v>177</v>
      </c>
    </row>
    <row r="9" spans="1:12" x14ac:dyDescent="0.35">
      <c r="A9" s="27" t="s">
        <v>125</v>
      </c>
      <c r="B9" t="s">
        <v>228</v>
      </c>
      <c r="C9" t="s">
        <v>151</v>
      </c>
      <c r="D9" t="s">
        <v>85</v>
      </c>
      <c r="E9" t="s">
        <v>177</v>
      </c>
      <c r="F9" t="s">
        <v>173</v>
      </c>
      <c r="G9" t="s">
        <v>177</v>
      </c>
    </row>
    <row r="10" spans="1:12" x14ac:dyDescent="0.35">
      <c r="A10" s="27" t="s">
        <v>126</v>
      </c>
      <c r="B10" t="s">
        <v>229</v>
      </c>
      <c r="C10" t="s">
        <v>152</v>
      </c>
      <c r="D10" t="s">
        <v>85</v>
      </c>
      <c r="E10" t="s">
        <v>172</v>
      </c>
      <c r="G10" t="s">
        <v>172</v>
      </c>
    </row>
    <row r="11" spans="1:12" x14ac:dyDescent="0.35">
      <c r="A11" s="27" t="s">
        <v>219</v>
      </c>
      <c r="B11" t="s">
        <v>228</v>
      </c>
      <c r="C11" t="s">
        <v>153</v>
      </c>
      <c r="D11" t="s">
        <v>85</v>
      </c>
      <c r="E11" t="s">
        <v>177</v>
      </c>
      <c r="F11" t="s">
        <v>173</v>
      </c>
      <c r="G11" t="s">
        <v>177</v>
      </c>
    </row>
    <row r="12" spans="1:12" x14ac:dyDescent="0.35">
      <c r="A12" s="27" t="s">
        <v>127</v>
      </c>
      <c r="B12" t="s">
        <v>230</v>
      </c>
      <c r="C12" t="s">
        <v>154</v>
      </c>
      <c r="D12" t="s">
        <v>85</v>
      </c>
      <c r="E12" t="s">
        <v>177</v>
      </c>
      <c r="F12" t="s">
        <v>173</v>
      </c>
      <c r="G12" t="s">
        <v>177</v>
      </c>
    </row>
    <row r="13" spans="1:12" x14ac:dyDescent="0.35">
      <c r="A13" s="27" t="s">
        <v>128</v>
      </c>
      <c r="B13" t="s">
        <v>231</v>
      </c>
      <c r="C13" t="s">
        <v>155</v>
      </c>
      <c r="D13" t="s">
        <v>85</v>
      </c>
      <c r="E13" t="s">
        <v>178</v>
      </c>
      <c r="F13" t="s">
        <v>14</v>
      </c>
      <c r="G13" t="s">
        <v>178</v>
      </c>
    </row>
    <row r="14" spans="1:12" x14ac:dyDescent="0.35">
      <c r="A14" s="27" t="s">
        <v>129</v>
      </c>
      <c r="B14" t="s">
        <v>231</v>
      </c>
      <c r="C14" t="s">
        <v>156</v>
      </c>
      <c r="D14" t="s">
        <v>85</v>
      </c>
      <c r="E14" t="s">
        <v>178</v>
      </c>
      <c r="F14" t="s">
        <v>14</v>
      </c>
      <c r="G14" t="s">
        <v>178</v>
      </c>
    </row>
    <row r="15" spans="1:12" x14ac:dyDescent="0.35">
      <c r="A15" s="27" t="s">
        <v>130</v>
      </c>
      <c r="B15" t="s">
        <v>232</v>
      </c>
      <c r="C15" t="s">
        <v>157</v>
      </c>
      <c r="D15" t="s">
        <v>85</v>
      </c>
      <c r="E15" t="s">
        <v>171</v>
      </c>
      <c r="G15" t="s">
        <v>171</v>
      </c>
    </row>
    <row r="16" spans="1:12" x14ac:dyDescent="0.35">
      <c r="A16" s="27" t="s">
        <v>131</v>
      </c>
      <c r="B16" t="s">
        <v>233</v>
      </c>
      <c r="C16" t="s">
        <v>158</v>
      </c>
      <c r="D16" t="s">
        <v>85</v>
      </c>
      <c r="E16" t="s">
        <v>179</v>
      </c>
      <c r="F16" t="s">
        <v>174</v>
      </c>
      <c r="G16" t="s">
        <v>179</v>
      </c>
    </row>
    <row r="17" spans="1:7" x14ac:dyDescent="0.35">
      <c r="A17" s="27" t="s">
        <v>132</v>
      </c>
      <c r="B17" t="s">
        <v>234</v>
      </c>
      <c r="C17" t="s">
        <v>159</v>
      </c>
      <c r="D17" t="s">
        <v>85</v>
      </c>
      <c r="E17" t="s">
        <v>177</v>
      </c>
      <c r="F17" t="s">
        <v>173</v>
      </c>
      <c r="G17" t="s">
        <v>177</v>
      </c>
    </row>
    <row r="18" spans="1:7" x14ac:dyDescent="0.35">
      <c r="A18" s="27" t="s">
        <v>133</v>
      </c>
      <c r="B18" t="s">
        <v>235</v>
      </c>
      <c r="C18" t="s">
        <v>160</v>
      </c>
      <c r="D18" t="s">
        <v>85</v>
      </c>
      <c r="E18" t="s">
        <v>177</v>
      </c>
      <c r="F18" t="s">
        <v>173</v>
      </c>
      <c r="G18" t="s">
        <v>177</v>
      </c>
    </row>
    <row r="19" spans="1:7" x14ac:dyDescent="0.35">
      <c r="A19" s="27" t="s">
        <v>134</v>
      </c>
      <c r="B19" t="s">
        <v>236</v>
      </c>
      <c r="C19" t="s">
        <v>161</v>
      </c>
      <c r="D19" t="s">
        <v>85</v>
      </c>
      <c r="E19" t="s">
        <v>179</v>
      </c>
      <c r="F19" t="s">
        <v>174</v>
      </c>
      <c r="G19" t="s">
        <v>179</v>
      </c>
    </row>
    <row r="20" spans="1:7" x14ac:dyDescent="0.35">
      <c r="A20" s="27" t="s">
        <v>135</v>
      </c>
      <c r="B20" t="s">
        <v>236</v>
      </c>
      <c r="C20" t="s">
        <v>162</v>
      </c>
      <c r="D20" t="s">
        <v>85</v>
      </c>
      <c r="E20" t="s">
        <v>177</v>
      </c>
      <c r="F20" t="s">
        <v>173</v>
      </c>
      <c r="G20" t="s">
        <v>177</v>
      </c>
    </row>
    <row r="21" spans="1:7" x14ac:dyDescent="0.35">
      <c r="A21" s="27" t="s">
        <v>136</v>
      </c>
      <c r="B21" t="s">
        <v>237</v>
      </c>
      <c r="C21" t="s">
        <v>163</v>
      </c>
      <c r="D21" t="s">
        <v>85</v>
      </c>
      <c r="E21" t="s">
        <v>171</v>
      </c>
      <c r="G21" t="s">
        <v>171</v>
      </c>
    </row>
    <row r="22" spans="1:7" x14ac:dyDescent="0.35">
      <c r="A22" s="27" t="s">
        <v>137</v>
      </c>
      <c r="B22" t="s">
        <v>238</v>
      </c>
      <c r="C22" t="s">
        <v>164</v>
      </c>
      <c r="D22" t="s">
        <v>85</v>
      </c>
      <c r="E22" t="s">
        <v>180</v>
      </c>
      <c r="F22" t="s">
        <v>173</v>
      </c>
      <c r="G22" t="s">
        <v>180</v>
      </c>
    </row>
    <row r="23" spans="1:7" x14ac:dyDescent="0.35">
      <c r="A23" s="27" t="s">
        <v>138</v>
      </c>
      <c r="B23" t="s">
        <v>239</v>
      </c>
      <c r="C23" t="s">
        <v>165</v>
      </c>
      <c r="D23" t="s">
        <v>85</v>
      </c>
      <c r="E23" t="s">
        <v>179</v>
      </c>
      <c r="F23" t="s">
        <v>174</v>
      </c>
      <c r="G23" t="s">
        <v>179</v>
      </c>
    </row>
    <row r="24" spans="1:7" x14ac:dyDescent="0.35">
      <c r="A24" s="27" t="s">
        <v>139</v>
      </c>
      <c r="B24" t="s">
        <v>240</v>
      </c>
      <c r="C24" t="s">
        <v>166</v>
      </c>
      <c r="D24" t="s">
        <v>85</v>
      </c>
      <c r="E24" t="s">
        <v>179</v>
      </c>
      <c r="F24" t="s">
        <v>174</v>
      </c>
      <c r="G24" t="s">
        <v>179</v>
      </c>
    </row>
    <row r="25" spans="1:7" x14ac:dyDescent="0.35">
      <c r="A25" s="27" t="s">
        <v>140</v>
      </c>
      <c r="B25" t="s">
        <v>241</v>
      </c>
      <c r="C25" t="s">
        <v>167</v>
      </c>
      <c r="D25" t="s">
        <v>85</v>
      </c>
      <c r="E25" t="s">
        <v>180</v>
      </c>
      <c r="F25" t="s">
        <v>173</v>
      </c>
      <c r="G25" t="s">
        <v>180</v>
      </c>
    </row>
    <row r="26" spans="1:7" x14ac:dyDescent="0.35">
      <c r="A26" s="27" t="s">
        <v>141</v>
      </c>
      <c r="B26" t="s">
        <v>241</v>
      </c>
      <c r="C26" t="s">
        <v>168</v>
      </c>
      <c r="D26" t="s">
        <v>85</v>
      </c>
      <c r="E26" t="s">
        <v>179</v>
      </c>
      <c r="F26" t="s">
        <v>174</v>
      </c>
      <c r="G26" t="s">
        <v>179</v>
      </c>
    </row>
    <row r="27" spans="1:7" x14ac:dyDescent="0.35">
      <c r="A27" s="27" t="s">
        <v>142</v>
      </c>
      <c r="B27" t="s">
        <v>242</v>
      </c>
      <c r="C27" t="s">
        <v>176</v>
      </c>
      <c r="D27" t="s">
        <v>85</v>
      </c>
      <c r="E27" t="s">
        <v>181</v>
      </c>
      <c r="F27" t="s">
        <v>175</v>
      </c>
      <c r="G27" t="s">
        <v>181</v>
      </c>
    </row>
    <row r="28" spans="1:7" x14ac:dyDescent="0.35">
      <c r="A28" s="27" t="s">
        <v>143</v>
      </c>
      <c r="B28" t="s">
        <v>243</v>
      </c>
      <c r="C28" t="s">
        <v>169</v>
      </c>
      <c r="D28" t="s">
        <v>85</v>
      </c>
      <c r="E28" t="s">
        <v>171</v>
      </c>
      <c r="G28" t="s">
        <v>171</v>
      </c>
    </row>
  </sheetData>
  <conditionalFormatting sqref="A2:A28 D2:D28">
    <cfRule type="containsBlanks" dxfId="1" priority="1">
      <formula>LEN(TRIM(A2))=0</formula>
    </cfRule>
  </conditionalFormatting>
  <dataValidations count="8">
    <dataValidation allowBlank="1" showInputMessage="1" showErrorMessage="1" promptTitle="Phenotype Name" prompt="This should be the full name of the phenotype that has been scored." sqref="A1" xr:uid="{53C12F0B-3F9F-48BF-B0F0-E08B964BA4CC}"/>
    <dataValidation allowBlank="1" showInputMessage="1" showErrorMessage="1" promptTitle="Phenotype Short Name" prompt="This is should be a shortened version of the phenotype name. This is used on some of the Germinate pages which use tables so that the phenotype name fits." sqref="B1" xr:uid="{8C19ED97-A603-4BB6-A206-2A716846C37F}"/>
    <dataValidation allowBlank="1" showInputMessage="1" showErrorMessage="1" promptTitle="Phenotype Description" prompt="This should be a full description of the phenotype. There is no limit to the length of text that can be used here so please be descriptive." sqref="C1" xr:uid="{F089AE66-013F-4735-81BE-5882571D1849}"/>
    <dataValidation allowBlank="1" showInputMessage="1" showErrorMessage="1" promptTitle="Unit Name" prompt="The name of the unit that is defined. Examples would include 'centimetre' or 'litre'" sqref="E1" xr:uid="{812908F9-58E0-44B7-8D9B-8F24F8373A14}"/>
    <dataValidation allowBlank="1" showInputMessage="1" showErrorMessage="1" promptTitle="Unit Abbreviation" prompt="Abbreviation for unit. Examples include 'l' or 'cm'" sqref="F1" xr:uid="{240F401A-C0EB-48A0-9B93-B4062FF9E866}"/>
    <dataValidation allowBlank="1" showInputMessage="1" showErrorMessage="1" promptTitle="Unit Description" prompt="A description of the unit." sqref="G1" xr:uid="{6BD03C10-201D-4FCC-A927-CC3E06375029}"/>
    <dataValidation type="list" allowBlank="1" showInputMessage="1" showErrorMessage="1" sqref="D1 D29:D1048576" xr:uid="{82E3529B-0246-482A-A1C4-DA13B1AEE9F4}">
      <formula1>$L$2:$L$4</formula1>
    </dataValidation>
    <dataValidation type="list" allowBlank="1" showInputMessage="1" showErrorMessage="1" sqref="D2:D28" xr:uid="{E7F82065-00E0-406C-B1D1-FF1C0CCD1326}">
      <formula1>$L$2:$L$5</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06"/>
  <sheetViews>
    <sheetView topLeftCell="A13" workbookViewId="0">
      <selection activeCell="E25" sqref="E25"/>
    </sheetView>
  </sheetViews>
  <sheetFormatPr defaultRowHeight="14.5" x14ac:dyDescent="0.35"/>
  <cols>
    <col min="1" max="1" width="17.7265625" bestFit="1" customWidth="1"/>
    <col min="2" max="2" width="6.7265625" bestFit="1" customWidth="1"/>
    <col min="3" max="5" width="11.453125" bestFit="1" customWidth="1"/>
    <col min="6" max="6" width="12.54296875" bestFit="1" customWidth="1"/>
    <col min="7" max="7" width="13.81640625" bestFit="1" customWidth="1"/>
    <col min="8" max="8" width="11.453125" bestFit="1" customWidth="1"/>
    <col min="9" max="9" width="12.1796875" bestFit="1" customWidth="1"/>
    <col min="10" max="10" width="11.54296875" bestFit="1" customWidth="1"/>
    <col min="11" max="11" width="27" customWidth="1"/>
    <col min="12" max="12" width="19.54296875" customWidth="1"/>
    <col min="13" max="13" width="19.81640625" customWidth="1"/>
    <col min="14" max="14" width="13.81640625" customWidth="1"/>
    <col min="15" max="15" width="15.453125" bestFit="1" customWidth="1"/>
    <col min="16" max="16" width="15" bestFit="1" customWidth="1"/>
    <col min="17" max="17" width="18.453125" bestFit="1" customWidth="1"/>
    <col min="18" max="18" width="15.7265625" customWidth="1"/>
    <col min="19" max="19" width="24.26953125" bestFit="1" customWidth="1"/>
    <col min="20" max="20" width="17" bestFit="1" customWidth="1"/>
    <col min="22" max="22" width="14.26953125" bestFit="1" customWidth="1"/>
    <col min="23" max="23" width="14" bestFit="1" customWidth="1"/>
    <col min="24" max="24" width="19.54296875" customWidth="1"/>
    <col min="25" max="25" width="16.7265625" bestFit="1" customWidth="1"/>
    <col min="26" max="26" width="12.26953125" bestFit="1" customWidth="1"/>
    <col min="28" max="28" width="19.1796875" customWidth="1"/>
    <col min="29" max="29" width="14.7265625" customWidth="1"/>
    <col min="30" max="30" width="16" customWidth="1"/>
    <col min="31" max="31" width="15.453125" customWidth="1"/>
    <col min="32" max="32" width="20.26953125" bestFit="1" customWidth="1"/>
    <col min="33" max="33" width="19" bestFit="1" customWidth="1"/>
    <col min="34" max="34" width="16.54296875" bestFit="1" customWidth="1"/>
    <col min="35" max="35" width="14.26953125" bestFit="1" customWidth="1"/>
    <col min="37" max="37" width="18.7265625" bestFit="1" customWidth="1"/>
  </cols>
  <sheetData>
    <row r="1" spans="1:37" x14ac:dyDescent="0.35">
      <c r="A1" s="22" t="s">
        <v>7</v>
      </c>
      <c r="B1" s="1" t="s">
        <v>29</v>
      </c>
      <c r="C1" s="1" t="s">
        <v>97</v>
      </c>
      <c r="D1" s="1" t="s">
        <v>115</v>
      </c>
      <c r="E1" s="1" t="s">
        <v>116</v>
      </c>
      <c r="F1" s="1" t="s">
        <v>30</v>
      </c>
      <c r="G1" t="s">
        <v>91</v>
      </c>
      <c r="H1" t="s">
        <v>71</v>
      </c>
      <c r="I1" t="s">
        <v>72</v>
      </c>
      <c r="J1" t="s">
        <v>70</v>
      </c>
      <c r="K1" t="s">
        <v>118</v>
      </c>
      <c r="L1" t="s">
        <v>119</v>
      </c>
      <c r="M1" t="s">
        <v>120</v>
      </c>
      <c r="N1" t="s">
        <v>121</v>
      </c>
      <c r="O1" t="s">
        <v>122</v>
      </c>
      <c r="P1" t="s">
        <v>123</v>
      </c>
      <c r="Q1" t="s">
        <v>124</v>
      </c>
      <c r="R1" t="s">
        <v>125</v>
      </c>
      <c r="S1" t="s">
        <v>126</v>
      </c>
      <c r="T1" t="s">
        <v>219</v>
      </c>
      <c r="U1" t="s">
        <v>127</v>
      </c>
      <c r="V1" t="s">
        <v>128</v>
      </c>
      <c r="W1" t="s">
        <v>129</v>
      </c>
      <c r="X1" t="s">
        <v>130</v>
      </c>
      <c r="Y1" t="s">
        <v>131</v>
      </c>
      <c r="Z1" t="s">
        <v>132</v>
      </c>
      <c r="AA1" t="s">
        <v>133</v>
      </c>
      <c r="AB1" t="s">
        <v>134</v>
      </c>
      <c r="AC1" t="s">
        <v>135</v>
      </c>
      <c r="AD1" t="s">
        <v>136</v>
      </c>
      <c r="AE1" t="s">
        <v>137</v>
      </c>
      <c r="AF1" t="s">
        <v>138</v>
      </c>
      <c r="AG1" t="s">
        <v>139</v>
      </c>
      <c r="AH1" t="s">
        <v>140</v>
      </c>
      <c r="AI1" t="s">
        <v>141</v>
      </c>
      <c r="AJ1" t="s">
        <v>142</v>
      </c>
      <c r="AK1" t="s">
        <v>143</v>
      </c>
    </row>
    <row r="2" spans="1:37" x14ac:dyDescent="0.35">
      <c r="A2" t="s">
        <v>184</v>
      </c>
      <c r="B2">
        <v>1</v>
      </c>
      <c r="K2">
        <v>9</v>
      </c>
      <c r="L2">
        <v>39</v>
      </c>
      <c r="M2">
        <v>152</v>
      </c>
      <c r="N2">
        <v>82</v>
      </c>
      <c r="O2">
        <v>7.2</v>
      </c>
      <c r="P2">
        <v>2.8</v>
      </c>
      <c r="Q2">
        <v>1.4</v>
      </c>
      <c r="R2">
        <v>1.9</v>
      </c>
      <c r="S2">
        <v>9</v>
      </c>
      <c r="T2">
        <v>13</v>
      </c>
      <c r="U2">
        <v>2.4</v>
      </c>
      <c r="V2">
        <v>12</v>
      </c>
      <c r="W2">
        <v>27.7</v>
      </c>
      <c r="X2">
        <v>36</v>
      </c>
      <c r="Y2">
        <v>31.5</v>
      </c>
      <c r="Z2">
        <v>11.9</v>
      </c>
      <c r="AA2">
        <v>18.899999999999999</v>
      </c>
      <c r="AB2">
        <v>20.399999999999999</v>
      </c>
      <c r="AC2">
        <v>8.1999999999999993</v>
      </c>
      <c r="AD2">
        <v>54</v>
      </c>
      <c r="AE2">
        <v>10.199999999999999</v>
      </c>
      <c r="AF2">
        <v>0.37</v>
      </c>
      <c r="AG2">
        <v>17.2</v>
      </c>
      <c r="AH2">
        <v>0.52</v>
      </c>
      <c r="AI2">
        <v>5.8</v>
      </c>
      <c r="AJ2">
        <v>22</v>
      </c>
      <c r="AK2">
        <v>8</v>
      </c>
    </row>
    <row r="3" spans="1:37" x14ac:dyDescent="0.35">
      <c r="A3" t="s">
        <v>185</v>
      </c>
      <c r="B3">
        <v>1</v>
      </c>
      <c r="K3">
        <v>10</v>
      </c>
      <c r="L3">
        <v>41</v>
      </c>
      <c r="M3">
        <v>160</v>
      </c>
      <c r="N3">
        <v>49</v>
      </c>
      <c r="O3">
        <v>9.6999999999999993</v>
      </c>
      <c r="P3">
        <v>3.6</v>
      </c>
      <c r="Q3">
        <v>3.7</v>
      </c>
      <c r="R3">
        <v>2</v>
      </c>
      <c r="S3">
        <v>4</v>
      </c>
      <c r="T3">
        <v>15</v>
      </c>
      <c r="U3">
        <v>3</v>
      </c>
      <c r="V3">
        <v>34.299999999999997</v>
      </c>
      <c r="W3">
        <v>34</v>
      </c>
      <c r="X3">
        <v>46</v>
      </c>
      <c r="Y3">
        <v>35.299999999999997</v>
      </c>
      <c r="Z3">
        <v>11.9</v>
      </c>
      <c r="AA3">
        <v>19.100000000000001</v>
      </c>
      <c r="AB3">
        <v>15.9</v>
      </c>
      <c r="AC3">
        <v>8.1</v>
      </c>
      <c r="AD3">
        <v>50</v>
      </c>
      <c r="AE3">
        <v>11.6</v>
      </c>
      <c r="AF3">
        <v>0.31</v>
      </c>
      <c r="AG3">
        <v>30.2</v>
      </c>
      <c r="AH3">
        <v>0.56000000000000005</v>
      </c>
      <c r="AI3">
        <v>7.8</v>
      </c>
      <c r="AJ3">
        <v>33</v>
      </c>
      <c r="AK3">
        <v>7</v>
      </c>
    </row>
    <row r="4" spans="1:37" x14ac:dyDescent="0.35">
      <c r="A4" t="s">
        <v>186</v>
      </c>
      <c r="B4">
        <v>1</v>
      </c>
      <c r="K4">
        <v>12</v>
      </c>
      <c r="L4">
        <v>41</v>
      </c>
      <c r="M4">
        <v>151</v>
      </c>
      <c r="N4">
        <v>57</v>
      </c>
      <c r="O4">
        <v>7.9</v>
      </c>
      <c r="P4">
        <v>3.4</v>
      </c>
      <c r="Q4">
        <v>2.4</v>
      </c>
      <c r="R4">
        <v>1.6</v>
      </c>
      <c r="S4">
        <v>6</v>
      </c>
      <c r="T4">
        <v>14</v>
      </c>
      <c r="U4">
        <v>2.6</v>
      </c>
      <c r="V4">
        <v>12.7</v>
      </c>
      <c r="W4">
        <v>28.2</v>
      </c>
      <c r="X4">
        <v>17</v>
      </c>
      <c r="Y4">
        <v>58</v>
      </c>
      <c r="Z4">
        <v>10.1</v>
      </c>
      <c r="AA4">
        <v>20.8</v>
      </c>
      <c r="AB4">
        <v>7.7</v>
      </c>
      <c r="AC4">
        <v>7.3</v>
      </c>
      <c r="AD4">
        <v>25</v>
      </c>
      <c r="AE4">
        <v>10.199999999999999</v>
      </c>
      <c r="AF4">
        <v>0.27</v>
      </c>
      <c r="AG4">
        <v>10.8</v>
      </c>
      <c r="AH4">
        <v>0.7</v>
      </c>
      <c r="AI4">
        <v>3.5</v>
      </c>
      <c r="AJ4">
        <v>33</v>
      </c>
      <c r="AK4">
        <v>9</v>
      </c>
    </row>
    <row r="5" spans="1:37" x14ac:dyDescent="0.35">
      <c r="A5" t="s">
        <v>187</v>
      </c>
      <c r="B5">
        <v>1</v>
      </c>
      <c r="K5">
        <v>12</v>
      </c>
      <c r="L5">
        <v>50</v>
      </c>
      <c r="M5">
        <v>161</v>
      </c>
      <c r="N5">
        <v>67</v>
      </c>
      <c r="O5">
        <v>9.1999999999999993</v>
      </c>
      <c r="P5">
        <v>4</v>
      </c>
      <c r="Q5">
        <v>2.8</v>
      </c>
      <c r="R5">
        <v>2.5</v>
      </c>
      <c r="S5">
        <v>8</v>
      </c>
      <c r="T5">
        <v>22</v>
      </c>
      <c r="U5">
        <v>2.2000000000000002</v>
      </c>
      <c r="V5">
        <v>19.8</v>
      </c>
      <c r="W5">
        <v>38.299999999999997</v>
      </c>
      <c r="X5">
        <v>46</v>
      </c>
      <c r="Y5">
        <v>55.5</v>
      </c>
      <c r="Z5">
        <v>13.4</v>
      </c>
      <c r="AA5">
        <v>19.899999999999999</v>
      </c>
      <c r="AB5">
        <v>21.1</v>
      </c>
      <c r="AC5">
        <v>8.1999999999999993</v>
      </c>
      <c r="AD5">
        <v>52</v>
      </c>
      <c r="AE5">
        <v>10.8</v>
      </c>
      <c r="AF5">
        <v>0.41</v>
      </c>
      <c r="AG5">
        <v>35.799999999999997</v>
      </c>
      <c r="AH5">
        <v>1.01</v>
      </c>
      <c r="AI5">
        <v>8.8000000000000007</v>
      </c>
      <c r="AJ5">
        <v>28</v>
      </c>
      <c r="AK5">
        <v>7</v>
      </c>
    </row>
    <row r="6" spans="1:37" x14ac:dyDescent="0.35">
      <c r="A6" t="s">
        <v>188</v>
      </c>
      <c r="B6">
        <v>1</v>
      </c>
      <c r="K6">
        <v>10</v>
      </c>
      <c r="L6">
        <v>39</v>
      </c>
      <c r="M6">
        <v>156</v>
      </c>
      <c r="N6">
        <v>54</v>
      </c>
      <c r="O6">
        <v>8.8000000000000007</v>
      </c>
      <c r="P6">
        <v>3</v>
      </c>
      <c r="Q6">
        <v>1.8</v>
      </c>
      <c r="R6">
        <v>2.1</v>
      </c>
      <c r="S6">
        <v>7</v>
      </c>
      <c r="T6">
        <v>13</v>
      </c>
      <c r="U6">
        <v>2.4</v>
      </c>
      <c r="V6">
        <v>11.7</v>
      </c>
      <c r="W6">
        <v>29.8</v>
      </c>
      <c r="X6">
        <v>34</v>
      </c>
      <c r="Y6">
        <v>42.5</v>
      </c>
      <c r="Z6">
        <v>11.8</v>
      </c>
      <c r="AA6">
        <v>20.6</v>
      </c>
      <c r="AB6">
        <v>20.6</v>
      </c>
      <c r="AC6">
        <v>8.4</v>
      </c>
      <c r="AD6">
        <v>43</v>
      </c>
      <c r="AE6">
        <v>11.2</v>
      </c>
      <c r="AF6">
        <v>0.48</v>
      </c>
      <c r="AG6">
        <v>17.2</v>
      </c>
      <c r="AH6">
        <v>0.56000000000000005</v>
      </c>
      <c r="AI6">
        <v>6.3</v>
      </c>
      <c r="AJ6">
        <v>23</v>
      </c>
      <c r="AK6">
        <v>12</v>
      </c>
    </row>
    <row r="7" spans="1:37" x14ac:dyDescent="0.35">
      <c r="A7" t="s">
        <v>189</v>
      </c>
      <c r="B7">
        <v>1</v>
      </c>
      <c r="K7">
        <v>10</v>
      </c>
      <c r="L7">
        <v>45</v>
      </c>
      <c r="M7">
        <v>153</v>
      </c>
      <c r="N7">
        <v>62</v>
      </c>
      <c r="O7">
        <v>8.8000000000000007</v>
      </c>
      <c r="P7">
        <v>3.5</v>
      </c>
      <c r="Q7">
        <v>1.4</v>
      </c>
      <c r="R7">
        <v>2.5</v>
      </c>
      <c r="S7">
        <v>11</v>
      </c>
      <c r="T7">
        <v>15</v>
      </c>
      <c r="U7">
        <v>1.5</v>
      </c>
      <c r="V7">
        <v>13.5</v>
      </c>
      <c r="W7">
        <v>29.7</v>
      </c>
      <c r="X7">
        <v>54</v>
      </c>
      <c r="Y7">
        <v>47.8</v>
      </c>
      <c r="Z7">
        <v>12.7</v>
      </c>
      <c r="AA7">
        <v>20.5</v>
      </c>
      <c r="AB7">
        <v>25.5</v>
      </c>
      <c r="AC7">
        <v>8.4</v>
      </c>
      <c r="AD7">
        <v>60</v>
      </c>
      <c r="AE7">
        <v>10.9</v>
      </c>
      <c r="AF7">
        <v>0.42</v>
      </c>
      <c r="AG7">
        <v>24.2</v>
      </c>
      <c r="AH7">
        <v>0.95</v>
      </c>
      <c r="AI7">
        <v>13.8</v>
      </c>
      <c r="AJ7">
        <v>35</v>
      </c>
      <c r="AK7">
        <v>9</v>
      </c>
    </row>
    <row r="8" spans="1:37" x14ac:dyDescent="0.35">
      <c r="A8" t="s">
        <v>190</v>
      </c>
      <c r="B8">
        <v>1</v>
      </c>
      <c r="K8">
        <v>11</v>
      </c>
      <c r="L8">
        <v>46</v>
      </c>
      <c r="M8">
        <v>152</v>
      </c>
      <c r="N8">
        <v>68</v>
      </c>
      <c r="O8">
        <v>8.5</v>
      </c>
      <c r="P8">
        <v>3.4</v>
      </c>
      <c r="Q8">
        <v>1.7</v>
      </c>
      <c r="R8">
        <v>1.7</v>
      </c>
      <c r="S8">
        <v>10</v>
      </c>
      <c r="T8">
        <v>16</v>
      </c>
      <c r="U8">
        <v>2.5</v>
      </c>
      <c r="V8">
        <v>13.5</v>
      </c>
      <c r="W8">
        <v>32.299999999999997</v>
      </c>
      <c r="X8">
        <v>50</v>
      </c>
      <c r="Y8">
        <v>27.1</v>
      </c>
      <c r="Z8">
        <v>11.1</v>
      </c>
      <c r="AA8">
        <v>17.7</v>
      </c>
      <c r="AB8">
        <v>22.4</v>
      </c>
      <c r="AC8">
        <v>7.3</v>
      </c>
      <c r="AD8">
        <v>56</v>
      </c>
      <c r="AE8">
        <v>9.6</v>
      </c>
      <c r="AF8">
        <v>0.31</v>
      </c>
      <c r="AG8">
        <v>23.4</v>
      </c>
      <c r="AH8">
        <v>0.81</v>
      </c>
      <c r="AI8">
        <v>10.5</v>
      </c>
      <c r="AJ8">
        <v>31</v>
      </c>
      <c r="AK8">
        <v>10</v>
      </c>
    </row>
    <row r="9" spans="1:37" x14ac:dyDescent="0.35">
      <c r="A9" t="s">
        <v>191</v>
      </c>
      <c r="B9">
        <v>1</v>
      </c>
      <c r="K9">
        <v>9</v>
      </c>
      <c r="L9">
        <v>47</v>
      </c>
      <c r="M9">
        <v>155</v>
      </c>
      <c r="N9">
        <v>82</v>
      </c>
      <c r="O9">
        <v>9.4</v>
      </c>
      <c r="P9">
        <v>3.6</v>
      </c>
      <c r="Q9">
        <v>1.9</v>
      </c>
      <c r="R9">
        <v>1.9</v>
      </c>
      <c r="S9">
        <v>8</v>
      </c>
      <c r="T9">
        <v>14</v>
      </c>
      <c r="U9">
        <v>2.5</v>
      </c>
      <c r="V9">
        <v>15.7</v>
      </c>
      <c r="W9">
        <v>32.5</v>
      </c>
      <c r="X9">
        <v>20</v>
      </c>
      <c r="Y9">
        <v>26.5</v>
      </c>
      <c r="Z9">
        <v>15.3</v>
      </c>
      <c r="AA9">
        <v>20.8</v>
      </c>
      <c r="AB9">
        <v>12.5</v>
      </c>
      <c r="AC9">
        <v>10</v>
      </c>
      <c r="AD9">
        <v>25</v>
      </c>
      <c r="AE9">
        <v>12</v>
      </c>
      <c r="AF9">
        <v>0.49</v>
      </c>
      <c r="AG9">
        <v>33.5</v>
      </c>
      <c r="AH9">
        <v>0.98</v>
      </c>
      <c r="AI9">
        <v>6.9</v>
      </c>
      <c r="AJ9">
        <v>35</v>
      </c>
      <c r="AK9">
        <v>11</v>
      </c>
    </row>
    <row r="10" spans="1:37" x14ac:dyDescent="0.35">
      <c r="A10" t="s">
        <v>192</v>
      </c>
      <c r="B10">
        <v>1</v>
      </c>
      <c r="K10">
        <v>9</v>
      </c>
      <c r="L10">
        <v>40</v>
      </c>
      <c r="M10">
        <v>151</v>
      </c>
      <c r="N10">
        <v>72</v>
      </c>
      <c r="O10">
        <v>7.8</v>
      </c>
      <c r="P10">
        <v>3.4</v>
      </c>
      <c r="Q10">
        <v>1.4</v>
      </c>
      <c r="R10">
        <v>1.8</v>
      </c>
      <c r="S10">
        <v>10</v>
      </c>
      <c r="T10">
        <v>14</v>
      </c>
      <c r="U10">
        <v>1.5</v>
      </c>
      <c r="V10">
        <v>18.7</v>
      </c>
      <c r="W10">
        <v>24</v>
      </c>
      <c r="X10">
        <v>40</v>
      </c>
      <c r="Y10">
        <v>39.700000000000003</v>
      </c>
      <c r="Z10">
        <v>11.5</v>
      </c>
      <c r="AA10">
        <v>17.899999999999999</v>
      </c>
      <c r="AB10">
        <v>13.3</v>
      </c>
      <c r="AC10">
        <v>8.1999999999999993</v>
      </c>
      <c r="AD10">
        <v>33</v>
      </c>
      <c r="AE10">
        <v>9.8000000000000007</v>
      </c>
      <c r="AF10">
        <v>0.41</v>
      </c>
      <c r="AG10">
        <v>35.5</v>
      </c>
      <c r="AH10">
        <v>0.56000000000000005</v>
      </c>
      <c r="AI10">
        <v>6.5</v>
      </c>
      <c r="AJ10">
        <v>34</v>
      </c>
      <c r="AK10">
        <v>7</v>
      </c>
    </row>
    <row r="11" spans="1:37" x14ac:dyDescent="0.35">
      <c r="A11" t="s">
        <v>193</v>
      </c>
      <c r="B11">
        <v>1</v>
      </c>
      <c r="K11">
        <v>10</v>
      </c>
      <c r="L11">
        <v>43</v>
      </c>
      <c r="M11">
        <v>160</v>
      </c>
      <c r="N11">
        <v>205</v>
      </c>
      <c r="O11">
        <v>7.5</v>
      </c>
      <c r="P11">
        <v>3.6</v>
      </c>
      <c r="Q11">
        <v>2.4</v>
      </c>
      <c r="R11">
        <v>3</v>
      </c>
      <c r="S11">
        <v>8</v>
      </c>
      <c r="T11">
        <v>18</v>
      </c>
      <c r="U11">
        <v>1.7</v>
      </c>
      <c r="V11">
        <v>23</v>
      </c>
      <c r="W11">
        <v>35.799999999999997</v>
      </c>
      <c r="X11">
        <v>106</v>
      </c>
      <c r="Y11">
        <v>33.5</v>
      </c>
      <c r="Z11">
        <v>11</v>
      </c>
      <c r="AA11">
        <v>19.8</v>
      </c>
      <c r="AB11">
        <v>31.9</v>
      </c>
      <c r="AC11">
        <v>8.1999999999999993</v>
      </c>
      <c r="AD11">
        <v>105</v>
      </c>
      <c r="AE11">
        <v>11.2</v>
      </c>
      <c r="AF11">
        <v>0.3</v>
      </c>
      <c r="AG11">
        <v>68.3</v>
      </c>
      <c r="AH11">
        <v>0.52</v>
      </c>
      <c r="AI11">
        <v>12.7</v>
      </c>
      <c r="AJ11">
        <v>30</v>
      </c>
      <c r="AK11">
        <v>14</v>
      </c>
    </row>
    <row r="12" spans="1:37" x14ac:dyDescent="0.35">
      <c r="A12" t="s">
        <v>194</v>
      </c>
      <c r="B12">
        <v>1</v>
      </c>
      <c r="K12">
        <v>8</v>
      </c>
      <c r="L12">
        <v>41</v>
      </c>
      <c r="M12">
        <v>156</v>
      </c>
      <c r="N12">
        <v>50</v>
      </c>
      <c r="O12">
        <v>8</v>
      </c>
      <c r="P12">
        <v>3.2</v>
      </c>
      <c r="Q12">
        <v>2.5</v>
      </c>
      <c r="R12">
        <v>3</v>
      </c>
      <c r="S12">
        <v>7</v>
      </c>
      <c r="T12">
        <v>16</v>
      </c>
      <c r="U12">
        <v>3</v>
      </c>
      <c r="V12">
        <v>22</v>
      </c>
      <c r="W12">
        <v>34.299999999999997</v>
      </c>
      <c r="X12">
        <v>52</v>
      </c>
      <c r="Y12">
        <v>24</v>
      </c>
      <c r="Z12">
        <v>12.8</v>
      </c>
      <c r="AA12">
        <v>17.899999999999999</v>
      </c>
      <c r="AB12">
        <v>25.3</v>
      </c>
      <c r="AC12">
        <v>8.8000000000000007</v>
      </c>
      <c r="AD12">
        <v>55</v>
      </c>
      <c r="AE12">
        <v>11.2</v>
      </c>
      <c r="AF12">
        <v>0.48</v>
      </c>
      <c r="AG12">
        <v>20.100000000000001</v>
      </c>
      <c r="AH12">
        <v>0.77</v>
      </c>
      <c r="AI12">
        <v>10.199999999999999</v>
      </c>
      <c r="AJ12">
        <v>29</v>
      </c>
      <c r="AK12">
        <v>12</v>
      </c>
    </row>
    <row r="13" spans="1:37" x14ac:dyDescent="0.35">
      <c r="A13" t="s">
        <v>195</v>
      </c>
      <c r="B13">
        <v>1</v>
      </c>
      <c r="K13">
        <v>12</v>
      </c>
      <c r="L13">
        <v>49</v>
      </c>
      <c r="M13">
        <v>154</v>
      </c>
      <c r="N13">
        <v>49</v>
      </c>
      <c r="O13">
        <v>7.9</v>
      </c>
      <c r="P13">
        <v>2.8</v>
      </c>
      <c r="Q13">
        <v>1.8</v>
      </c>
      <c r="R13">
        <v>1.7</v>
      </c>
      <c r="S13">
        <v>8</v>
      </c>
      <c r="T13">
        <v>14</v>
      </c>
      <c r="U13">
        <v>1.9</v>
      </c>
      <c r="V13">
        <v>11.8</v>
      </c>
      <c r="W13">
        <v>28</v>
      </c>
      <c r="X13">
        <v>33</v>
      </c>
      <c r="Y13">
        <v>19.5</v>
      </c>
      <c r="Z13">
        <v>12</v>
      </c>
      <c r="AA13">
        <v>19.2</v>
      </c>
      <c r="AB13">
        <v>13.7</v>
      </c>
      <c r="AC13">
        <v>8.5</v>
      </c>
      <c r="AD13">
        <v>38</v>
      </c>
      <c r="AE13">
        <v>10.199999999999999</v>
      </c>
      <c r="AF13">
        <v>0.37</v>
      </c>
      <c r="AG13">
        <v>14.6</v>
      </c>
      <c r="AH13">
        <v>0.67</v>
      </c>
      <c r="AI13">
        <v>6.1</v>
      </c>
      <c r="AJ13">
        <v>30</v>
      </c>
      <c r="AK13">
        <v>6</v>
      </c>
    </row>
    <row r="14" spans="1:37" x14ac:dyDescent="0.35">
      <c r="A14" t="s">
        <v>196</v>
      </c>
      <c r="B14">
        <v>1</v>
      </c>
      <c r="K14">
        <v>10</v>
      </c>
      <c r="L14">
        <v>39</v>
      </c>
      <c r="M14">
        <v>148</v>
      </c>
      <c r="N14">
        <v>35</v>
      </c>
      <c r="O14">
        <v>8.1</v>
      </c>
      <c r="P14">
        <v>2.8</v>
      </c>
      <c r="Q14">
        <v>1.4</v>
      </c>
      <c r="R14">
        <v>1.7</v>
      </c>
      <c r="S14">
        <v>10</v>
      </c>
      <c r="T14">
        <v>14</v>
      </c>
      <c r="U14">
        <v>2.1</v>
      </c>
      <c r="V14">
        <v>10.8</v>
      </c>
      <c r="W14">
        <v>28.5</v>
      </c>
      <c r="X14">
        <v>28</v>
      </c>
      <c r="Y14">
        <v>18.7</v>
      </c>
      <c r="Z14">
        <v>11.4</v>
      </c>
      <c r="AA14">
        <v>21</v>
      </c>
      <c r="AB14">
        <v>20.9</v>
      </c>
      <c r="AC14">
        <v>8.6</v>
      </c>
      <c r="AD14">
        <v>40</v>
      </c>
      <c r="AE14">
        <v>10.8</v>
      </c>
      <c r="AF14">
        <v>0.53</v>
      </c>
      <c r="AG14">
        <v>9.9</v>
      </c>
      <c r="AH14">
        <v>0.72</v>
      </c>
      <c r="AI14">
        <v>5.0999999999999996</v>
      </c>
      <c r="AJ14">
        <v>20</v>
      </c>
      <c r="AK14">
        <v>7</v>
      </c>
    </row>
    <row r="15" spans="1:37" x14ac:dyDescent="0.35">
      <c r="A15" t="s">
        <v>197</v>
      </c>
      <c r="B15">
        <v>1</v>
      </c>
      <c r="K15">
        <v>10</v>
      </c>
      <c r="L15">
        <v>42</v>
      </c>
      <c r="M15">
        <v>153</v>
      </c>
      <c r="N15">
        <v>54</v>
      </c>
      <c r="O15">
        <v>8.3000000000000007</v>
      </c>
      <c r="P15">
        <v>3.3</v>
      </c>
      <c r="Q15">
        <v>2</v>
      </c>
      <c r="R15">
        <v>2.1</v>
      </c>
      <c r="S15">
        <v>7</v>
      </c>
      <c r="T15">
        <v>14</v>
      </c>
      <c r="U15">
        <v>3</v>
      </c>
      <c r="V15">
        <v>14.2</v>
      </c>
      <c r="W15">
        <v>30.7</v>
      </c>
      <c r="X15">
        <v>22</v>
      </c>
      <c r="Y15">
        <v>45.1</v>
      </c>
      <c r="Z15">
        <v>12.4</v>
      </c>
      <c r="AA15">
        <v>20.3</v>
      </c>
      <c r="AB15">
        <v>9.9</v>
      </c>
      <c r="AC15">
        <v>8.6</v>
      </c>
      <c r="AD15">
        <v>30</v>
      </c>
      <c r="AE15">
        <v>10.5</v>
      </c>
      <c r="AF15">
        <v>0.38</v>
      </c>
      <c r="AG15">
        <v>20.2</v>
      </c>
      <c r="AH15">
        <v>0.7</v>
      </c>
      <c r="AI15">
        <v>6.8</v>
      </c>
      <c r="AJ15">
        <v>37</v>
      </c>
      <c r="AK15">
        <v>8</v>
      </c>
    </row>
    <row r="16" spans="1:37" x14ac:dyDescent="0.35">
      <c r="A16" t="s">
        <v>198</v>
      </c>
      <c r="B16">
        <v>1</v>
      </c>
      <c r="K16">
        <v>10</v>
      </c>
      <c r="L16">
        <v>47</v>
      </c>
      <c r="M16">
        <v>152</v>
      </c>
      <c r="N16">
        <v>47</v>
      </c>
      <c r="O16">
        <v>8.9</v>
      </c>
      <c r="P16">
        <v>4</v>
      </c>
      <c r="Q16">
        <v>1.4</v>
      </c>
      <c r="R16">
        <v>1.9</v>
      </c>
      <c r="S16">
        <v>10</v>
      </c>
      <c r="T16">
        <v>15</v>
      </c>
      <c r="U16">
        <v>1.8</v>
      </c>
      <c r="V16">
        <v>10.7</v>
      </c>
      <c r="W16">
        <v>32</v>
      </c>
      <c r="X16">
        <v>10</v>
      </c>
      <c r="Y16">
        <v>35.9</v>
      </c>
      <c r="Z16">
        <v>9.6999999999999993</v>
      </c>
      <c r="AA16">
        <v>16.399999999999999</v>
      </c>
      <c r="AB16">
        <v>2.8</v>
      </c>
      <c r="AC16">
        <v>6.9</v>
      </c>
      <c r="AD16">
        <v>15</v>
      </c>
      <c r="AE16">
        <v>9</v>
      </c>
      <c r="AF16">
        <v>0.18</v>
      </c>
      <c r="AG16">
        <v>13.2</v>
      </c>
      <c r="AH16">
        <v>0.84</v>
      </c>
      <c r="AI16">
        <v>1.7</v>
      </c>
      <c r="AJ16">
        <v>40</v>
      </c>
      <c r="AK16">
        <v>6</v>
      </c>
    </row>
    <row r="17" spans="1:37" x14ac:dyDescent="0.35">
      <c r="A17" t="s">
        <v>199</v>
      </c>
      <c r="B17">
        <v>1</v>
      </c>
      <c r="K17">
        <v>11</v>
      </c>
      <c r="L17">
        <v>45</v>
      </c>
      <c r="M17">
        <v>151</v>
      </c>
      <c r="N17">
        <v>84</v>
      </c>
      <c r="O17">
        <v>8.3000000000000007</v>
      </c>
      <c r="P17">
        <v>3.3</v>
      </c>
      <c r="Q17">
        <v>1.8</v>
      </c>
      <c r="R17">
        <v>2.2999999999999998</v>
      </c>
      <c r="S17">
        <v>8</v>
      </c>
      <c r="T17">
        <v>15</v>
      </c>
      <c r="U17">
        <v>2.1</v>
      </c>
      <c r="V17">
        <v>12</v>
      </c>
      <c r="W17">
        <v>31</v>
      </c>
      <c r="X17">
        <v>11</v>
      </c>
      <c r="Y17">
        <v>20.2</v>
      </c>
      <c r="Z17">
        <v>12</v>
      </c>
      <c r="AA17">
        <v>19.3</v>
      </c>
      <c r="AB17">
        <v>3.5</v>
      </c>
      <c r="AC17">
        <v>7</v>
      </c>
      <c r="AD17">
        <v>12</v>
      </c>
      <c r="AE17">
        <v>9.4</v>
      </c>
      <c r="AF17">
        <v>0.3</v>
      </c>
      <c r="AG17">
        <v>28.9</v>
      </c>
      <c r="AH17">
        <v>0.87</v>
      </c>
      <c r="AI17">
        <v>3.1</v>
      </c>
      <c r="AJ17">
        <v>49</v>
      </c>
      <c r="AK17">
        <v>8</v>
      </c>
    </row>
    <row r="18" spans="1:37" x14ac:dyDescent="0.35">
      <c r="A18" t="s">
        <v>200</v>
      </c>
      <c r="B18">
        <v>1</v>
      </c>
      <c r="K18">
        <v>10</v>
      </c>
      <c r="L18">
        <v>43</v>
      </c>
      <c r="M18">
        <v>156</v>
      </c>
      <c r="N18">
        <v>52</v>
      </c>
      <c r="O18">
        <v>8.4</v>
      </c>
      <c r="P18">
        <v>3.9</v>
      </c>
      <c r="Q18">
        <v>2</v>
      </c>
      <c r="R18">
        <v>1.4</v>
      </c>
      <c r="S18">
        <v>8</v>
      </c>
      <c r="T18">
        <v>16</v>
      </c>
      <c r="U18">
        <v>3.2</v>
      </c>
      <c r="V18">
        <v>12.3</v>
      </c>
      <c r="W18">
        <v>31.7</v>
      </c>
      <c r="X18">
        <v>20</v>
      </c>
      <c r="Y18">
        <v>26.2</v>
      </c>
      <c r="Z18">
        <v>14</v>
      </c>
      <c r="AA18">
        <v>20.9</v>
      </c>
      <c r="AB18">
        <v>10.6</v>
      </c>
      <c r="AC18">
        <v>8.9</v>
      </c>
      <c r="AD18">
        <v>26</v>
      </c>
      <c r="AE18">
        <v>11.8</v>
      </c>
      <c r="AF18">
        <v>0.4</v>
      </c>
      <c r="AG18">
        <v>22.6</v>
      </c>
      <c r="AH18">
        <v>1.35</v>
      </c>
      <c r="AI18">
        <v>6.5</v>
      </c>
      <c r="AJ18">
        <v>37</v>
      </c>
      <c r="AK18">
        <v>7</v>
      </c>
    </row>
    <row r="19" spans="1:37" x14ac:dyDescent="0.35">
      <c r="A19" t="s">
        <v>201</v>
      </c>
      <c r="B19">
        <v>1</v>
      </c>
      <c r="K19">
        <v>13</v>
      </c>
      <c r="L19">
        <v>41</v>
      </c>
      <c r="M19">
        <v>139</v>
      </c>
      <c r="N19">
        <v>39</v>
      </c>
      <c r="O19">
        <v>8.9</v>
      </c>
      <c r="P19">
        <v>3.2</v>
      </c>
      <c r="Q19">
        <v>1.1000000000000001</v>
      </c>
      <c r="R19">
        <v>1.9</v>
      </c>
      <c r="S19">
        <v>14</v>
      </c>
      <c r="T19">
        <v>14</v>
      </c>
      <c r="U19">
        <v>2.2000000000000002</v>
      </c>
      <c r="V19">
        <v>8.6999999999999993</v>
      </c>
      <c r="W19">
        <v>31.5</v>
      </c>
      <c r="X19">
        <v>30</v>
      </c>
      <c r="Y19">
        <v>11.5</v>
      </c>
      <c r="Z19">
        <v>11.2</v>
      </c>
      <c r="AA19">
        <v>17.899999999999999</v>
      </c>
      <c r="AB19">
        <v>16.100000000000001</v>
      </c>
      <c r="AC19">
        <v>8</v>
      </c>
      <c r="AD19">
        <v>39</v>
      </c>
      <c r="AE19">
        <v>10</v>
      </c>
      <c r="AF19">
        <v>0.41</v>
      </c>
      <c r="AG19">
        <v>11.2</v>
      </c>
      <c r="AH19">
        <v>0.61</v>
      </c>
      <c r="AI19">
        <v>5.3</v>
      </c>
      <c r="AJ19">
        <v>25</v>
      </c>
      <c r="AK19">
        <v>10</v>
      </c>
    </row>
    <row r="20" spans="1:37" x14ac:dyDescent="0.35">
      <c r="A20" t="s">
        <v>202</v>
      </c>
      <c r="B20">
        <v>1</v>
      </c>
      <c r="K20">
        <v>8</v>
      </c>
      <c r="L20">
        <v>38</v>
      </c>
      <c r="M20">
        <v>160</v>
      </c>
      <c r="N20">
        <v>104</v>
      </c>
      <c r="O20">
        <v>8.3000000000000007</v>
      </c>
      <c r="P20">
        <v>4.4000000000000004</v>
      </c>
      <c r="Q20">
        <v>2.6</v>
      </c>
      <c r="R20">
        <v>3</v>
      </c>
      <c r="S20">
        <v>7</v>
      </c>
      <c r="T20">
        <v>18</v>
      </c>
      <c r="U20">
        <v>2.2000000000000002</v>
      </c>
      <c r="V20">
        <v>27.3</v>
      </c>
      <c r="W20">
        <v>34.799999999999997</v>
      </c>
      <c r="X20">
        <v>86</v>
      </c>
      <c r="Y20">
        <v>16.8</v>
      </c>
      <c r="Z20">
        <v>12.6</v>
      </c>
      <c r="AA20">
        <v>20.100000000000001</v>
      </c>
      <c r="AB20">
        <v>45.8</v>
      </c>
      <c r="AC20">
        <v>9.4</v>
      </c>
      <c r="AD20">
        <v>102</v>
      </c>
      <c r="AE20">
        <v>12.3</v>
      </c>
      <c r="AF20">
        <v>0.46</v>
      </c>
      <c r="AG20">
        <v>42.7</v>
      </c>
      <c r="AH20">
        <v>0.6</v>
      </c>
      <c r="AI20">
        <v>13.2</v>
      </c>
      <c r="AJ20">
        <v>22</v>
      </c>
      <c r="AK20">
        <v>9</v>
      </c>
    </row>
    <row r="21" spans="1:37" x14ac:dyDescent="0.35">
      <c r="A21" t="s">
        <v>203</v>
      </c>
      <c r="B21">
        <v>1</v>
      </c>
      <c r="K21">
        <v>11</v>
      </c>
      <c r="L21">
        <v>43</v>
      </c>
      <c r="M21">
        <v>143</v>
      </c>
      <c r="N21">
        <v>150</v>
      </c>
      <c r="O21">
        <v>9</v>
      </c>
      <c r="P21">
        <v>4</v>
      </c>
      <c r="Q21">
        <v>2.6</v>
      </c>
      <c r="R21">
        <v>4.0999999999999996</v>
      </c>
      <c r="S21">
        <v>8</v>
      </c>
      <c r="T21">
        <v>21</v>
      </c>
      <c r="U21">
        <v>2.2000000000000002</v>
      </c>
      <c r="V21">
        <v>23</v>
      </c>
      <c r="W21">
        <v>38.299999999999997</v>
      </c>
      <c r="X21">
        <v>35</v>
      </c>
      <c r="Y21">
        <v>4.2</v>
      </c>
      <c r="Z21">
        <v>11.4</v>
      </c>
      <c r="AA21">
        <v>19.7</v>
      </c>
      <c r="AB21">
        <v>13.3</v>
      </c>
      <c r="AC21">
        <v>7.7</v>
      </c>
      <c r="AD21">
        <v>50</v>
      </c>
      <c r="AE21">
        <v>9.9</v>
      </c>
      <c r="AF21">
        <v>0.25</v>
      </c>
      <c r="AG21">
        <v>54.1</v>
      </c>
      <c r="AH21">
        <v>0.68</v>
      </c>
      <c r="AI21">
        <v>9.1</v>
      </c>
      <c r="AJ21">
        <v>42</v>
      </c>
      <c r="AK21">
        <v>14</v>
      </c>
    </row>
    <row r="22" spans="1:37" x14ac:dyDescent="0.35">
      <c r="A22" t="s">
        <v>204</v>
      </c>
      <c r="B22">
        <v>1</v>
      </c>
      <c r="K22">
        <v>8</v>
      </c>
      <c r="L22">
        <v>45</v>
      </c>
      <c r="M22">
        <v>160</v>
      </c>
      <c r="N22">
        <v>198</v>
      </c>
      <c r="O22">
        <v>8</v>
      </c>
      <c r="P22">
        <v>3.4</v>
      </c>
      <c r="Q22">
        <v>2.8</v>
      </c>
      <c r="R22">
        <v>3.4</v>
      </c>
      <c r="S22">
        <v>8</v>
      </c>
      <c r="T22">
        <v>22</v>
      </c>
      <c r="U22">
        <v>1.5</v>
      </c>
      <c r="V22">
        <v>25.2</v>
      </c>
      <c r="W22">
        <v>39.5</v>
      </c>
      <c r="X22">
        <v>106</v>
      </c>
      <c r="Y22">
        <v>6.6</v>
      </c>
      <c r="Z22">
        <v>11.6</v>
      </c>
      <c r="AA22">
        <v>18.399999999999999</v>
      </c>
      <c r="AB22">
        <v>28.9</v>
      </c>
      <c r="AC22">
        <v>8.4</v>
      </c>
      <c r="AD22">
        <v>94</v>
      </c>
      <c r="AE22">
        <v>11.1</v>
      </c>
      <c r="AF22">
        <v>0.33</v>
      </c>
      <c r="AG22">
        <v>76.3</v>
      </c>
      <c r="AH22">
        <v>0.63</v>
      </c>
      <c r="AI22">
        <v>15.3</v>
      </c>
      <c r="AJ22">
        <v>34</v>
      </c>
      <c r="AK22">
        <v>11</v>
      </c>
    </row>
    <row r="23" spans="1:37" x14ac:dyDescent="0.35">
      <c r="A23" t="s">
        <v>205</v>
      </c>
      <c r="B23">
        <v>1</v>
      </c>
      <c r="K23">
        <v>10</v>
      </c>
      <c r="L23">
        <v>47</v>
      </c>
      <c r="M23">
        <v>160</v>
      </c>
      <c r="N23">
        <v>81</v>
      </c>
      <c r="O23">
        <v>8</v>
      </c>
      <c r="P23">
        <v>3.8</v>
      </c>
      <c r="Q23">
        <v>3</v>
      </c>
      <c r="R23">
        <v>2</v>
      </c>
      <c r="S23">
        <v>5</v>
      </c>
      <c r="T23">
        <v>16</v>
      </c>
      <c r="U23">
        <v>2.2000000000000002</v>
      </c>
      <c r="V23">
        <v>23</v>
      </c>
      <c r="W23">
        <v>32.299999999999997</v>
      </c>
      <c r="X23">
        <v>121</v>
      </c>
      <c r="Y23">
        <v>17.100000000000001</v>
      </c>
      <c r="Z23">
        <v>10.5</v>
      </c>
      <c r="AA23">
        <v>15.9</v>
      </c>
      <c r="AB23">
        <v>35.5</v>
      </c>
      <c r="AC23">
        <v>7.8</v>
      </c>
      <c r="AD23">
        <v>133</v>
      </c>
      <c r="AE23">
        <v>9.5</v>
      </c>
      <c r="AF23">
        <v>0.27</v>
      </c>
      <c r="AG23">
        <v>33.700000000000003</v>
      </c>
      <c r="AH23">
        <v>0.54</v>
      </c>
      <c r="AI23">
        <v>11.7</v>
      </c>
      <c r="AJ23">
        <v>24</v>
      </c>
      <c r="AK23">
        <v>12</v>
      </c>
    </row>
    <row r="24" spans="1:37" x14ac:dyDescent="0.35">
      <c r="A24" t="s">
        <v>206</v>
      </c>
      <c r="B24">
        <v>1</v>
      </c>
      <c r="K24">
        <v>9</v>
      </c>
      <c r="L24">
        <v>39</v>
      </c>
      <c r="M24">
        <v>143</v>
      </c>
      <c r="N24">
        <v>55</v>
      </c>
      <c r="O24">
        <v>8.6</v>
      </c>
      <c r="P24">
        <v>4.0999999999999996</v>
      </c>
      <c r="Q24">
        <v>2.4</v>
      </c>
      <c r="R24">
        <v>1.8</v>
      </c>
      <c r="S24">
        <v>7</v>
      </c>
      <c r="T24">
        <v>16</v>
      </c>
      <c r="U24">
        <v>2.2000000000000002</v>
      </c>
      <c r="V24">
        <v>18.8</v>
      </c>
      <c r="W24">
        <v>29.7</v>
      </c>
      <c r="X24">
        <v>48</v>
      </c>
      <c r="Y24">
        <v>21.3</v>
      </c>
      <c r="Z24">
        <v>10.5</v>
      </c>
      <c r="AA24">
        <v>15.4</v>
      </c>
      <c r="AB24">
        <v>20.7</v>
      </c>
      <c r="AC24">
        <v>7.6</v>
      </c>
      <c r="AD24">
        <v>48</v>
      </c>
      <c r="AE24">
        <v>9.6</v>
      </c>
      <c r="AF24">
        <v>0.34</v>
      </c>
      <c r="AG24">
        <v>21.5</v>
      </c>
      <c r="AH24">
        <v>0.56000000000000005</v>
      </c>
      <c r="AI24">
        <v>6.4</v>
      </c>
      <c r="AJ24">
        <v>31</v>
      </c>
      <c r="AK24">
        <v>9</v>
      </c>
    </row>
    <row r="25" spans="1:37" x14ac:dyDescent="0.35">
      <c r="A25" t="s">
        <v>207</v>
      </c>
      <c r="B25">
        <v>1</v>
      </c>
      <c r="K25">
        <v>10</v>
      </c>
      <c r="L25">
        <v>39</v>
      </c>
      <c r="M25">
        <v>160</v>
      </c>
      <c r="N25">
        <v>105</v>
      </c>
      <c r="O25">
        <v>9</v>
      </c>
      <c r="P25">
        <v>3.8</v>
      </c>
      <c r="Q25">
        <v>2</v>
      </c>
      <c r="R25">
        <v>2.6</v>
      </c>
      <c r="S25">
        <v>9</v>
      </c>
      <c r="T25">
        <v>17</v>
      </c>
      <c r="U25">
        <v>2.4</v>
      </c>
      <c r="V25">
        <v>16.3</v>
      </c>
      <c r="W25">
        <v>36</v>
      </c>
      <c r="X25">
        <v>105</v>
      </c>
      <c r="Y25">
        <v>59.6</v>
      </c>
      <c r="Z25">
        <v>13.1</v>
      </c>
      <c r="AA25">
        <v>18.600000000000001</v>
      </c>
      <c r="AB25">
        <v>49.1</v>
      </c>
      <c r="AC25">
        <v>9.1999999999999993</v>
      </c>
      <c r="AD25">
        <v>107</v>
      </c>
      <c r="AE25">
        <v>11</v>
      </c>
      <c r="AF25">
        <v>0.46</v>
      </c>
      <c r="AG25">
        <v>53.2</v>
      </c>
      <c r="AH25">
        <v>0.56000000000000005</v>
      </c>
      <c r="AI25">
        <v>17.5</v>
      </c>
      <c r="AJ25">
        <v>25</v>
      </c>
      <c r="AK25">
        <v>14</v>
      </c>
    </row>
    <row r="26" spans="1:37" x14ac:dyDescent="0.35">
      <c r="A26" t="s">
        <v>208</v>
      </c>
      <c r="B26">
        <v>1</v>
      </c>
      <c r="K26">
        <v>10</v>
      </c>
      <c r="L26">
        <v>39</v>
      </c>
      <c r="M26">
        <v>161</v>
      </c>
      <c r="N26">
        <v>79</v>
      </c>
      <c r="O26">
        <v>8.3000000000000007</v>
      </c>
      <c r="P26">
        <v>3.6</v>
      </c>
      <c r="Q26">
        <v>2.8</v>
      </c>
      <c r="R26">
        <v>2.4</v>
      </c>
      <c r="S26">
        <v>7</v>
      </c>
      <c r="T26">
        <v>20</v>
      </c>
      <c r="U26">
        <v>2.2000000000000002</v>
      </c>
      <c r="V26">
        <v>22.3</v>
      </c>
      <c r="W26">
        <v>36</v>
      </c>
      <c r="X26">
        <v>87</v>
      </c>
      <c r="Y26">
        <v>23</v>
      </c>
      <c r="Z26">
        <v>12.5</v>
      </c>
      <c r="AA26">
        <v>17.5</v>
      </c>
      <c r="AB26">
        <v>32.4</v>
      </c>
      <c r="AC26">
        <v>8.4</v>
      </c>
      <c r="AD26">
        <v>96</v>
      </c>
      <c r="AE26">
        <v>9.9</v>
      </c>
      <c r="AF26">
        <v>0.34</v>
      </c>
      <c r="AG26">
        <v>35.700000000000003</v>
      </c>
      <c r="AH26">
        <v>0.7</v>
      </c>
      <c r="AI26">
        <v>11.8</v>
      </c>
      <c r="AJ26">
        <v>25</v>
      </c>
      <c r="AK26">
        <v>10</v>
      </c>
    </row>
    <row r="27" spans="1:37" x14ac:dyDescent="0.35">
      <c r="A27" t="s">
        <v>209</v>
      </c>
      <c r="B27">
        <v>1</v>
      </c>
      <c r="K27">
        <v>10</v>
      </c>
      <c r="L27">
        <v>39</v>
      </c>
      <c r="M27">
        <v>68</v>
      </c>
      <c r="N27">
        <v>34</v>
      </c>
      <c r="O27">
        <v>8.3000000000000007</v>
      </c>
      <c r="P27">
        <v>3.7</v>
      </c>
      <c r="Q27">
        <v>3.9</v>
      </c>
      <c r="R27">
        <v>17</v>
      </c>
      <c r="S27">
        <v>4</v>
      </c>
      <c r="T27">
        <v>2.1</v>
      </c>
      <c r="U27">
        <v>3.6</v>
      </c>
      <c r="V27">
        <v>34</v>
      </c>
      <c r="W27">
        <v>35.700000000000003</v>
      </c>
      <c r="X27">
        <v>79</v>
      </c>
      <c r="Y27">
        <v>44</v>
      </c>
      <c r="Z27">
        <v>13.3</v>
      </c>
      <c r="AA27">
        <v>20.5</v>
      </c>
      <c r="AB27">
        <v>47.1</v>
      </c>
      <c r="AC27">
        <v>9.6999999999999993</v>
      </c>
      <c r="AD27">
        <v>86</v>
      </c>
      <c r="AE27">
        <v>12.8</v>
      </c>
      <c r="AF27">
        <v>0.56999999999999995</v>
      </c>
      <c r="AG27">
        <v>34.200000000000003</v>
      </c>
      <c r="AH27">
        <v>0.54</v>
      </c>
      <c r="AI27">
        <v>12.4</v>
      </c>
      <c r="AJ27">
        <v>21</v>
      </c>
      <c r="AK27">
        <v>14</v>
      </c>
    </row>
    <row r="28" spans="1:37" x14ac:dyDescent="0.35">
      <c r="A28" t="s">
        <v>210</v>
      </c>
      <c r="B28">
        <v>1</v>
      </c>
      <c r="K28">
        <v>10</v>
      </c>
      <c r="L28">
        <v>38</v>
      </c>
      <c r="M28">
        <v>116</v>
      </c>
      <c r="N28">
        <v>31.7</v>
      </c>
      <c r="O28">
        <v>8.4</v>
      </c>
      <c r="P28">
        <v>3.8</v>
      </c>
      <c r="Q28">
        <v>3.1</v>
      </c>
      <c r="R28">
        <v>19</v>
      </c>
      <c r="S28">
        <v>6</v>
      </c>
      <c r="T28">
        <v>2.2000000000000002</v>
      </c>
      <c r="U28">
        <v>2.2000000000000002</v>
      </c>
      <c r="V28">
        <v>31.7</v>
      </c>
      <c r="W28">
        <v>35.299999999999997</v>
      </c>
      <c r="X28">
        <v>100</v>
      </c>
      <c r="Y28">
        <v>47.4</v>
      </c>
      <c r="Z28">
        <v>10.9</v>
      </c>
      <c r="AA28">
        <v>15.3</v>
      </c>
      <c r="AB28">
        <v>28.6</v>
      </c>
      <c r="AC28">
        <v>8.1999999999999993</v>
      </c>
      <c r="AD28">
        <v>105</v>
      </c>
      <c r="AE28">
        <v>9.6</v>
      </c>
      <c r="AF28">
        <v>0.27</v>
      </c>
      <c r="AG28">
        <v>46.8</v>
      </c>
      <c r="AH28">
        <v>0.47</v>
      </c>
      <c r="AI28">
        <v>10.199999999999999</v>
      </c>
      <c r="AJ28">
        <v>27</v>
      </c>
      <c r="AK28">
        <v>10</v>
      </c>
    </row>
    <row r="29" spans="1:37" x14ac:dyDescent="0.35">
      <c r="A29" t="s">
        <v>211</v>
      </c>
      <c r="B29">
        <v>1</v>
      </c>
      <c r="K29">
        <v>10</v>
      </c>
      <c r="L29">
        <v>41</v>
      </c>
      <c r="M29">
        <v>116</v>
      </c>
      <c r="N29">
        <v>28.3</v>
      </c>
      <c r="O29">
        <v>8.1999999999999993</v>
      </c>
      <c r="P29">
        <v>3.9</v>
      </c>
      <c r="Q29">
        <v>2.5</v>
      </c>
      <c r="R29">
        <v>19</v>
      </c>
      <c r="S29">
        <v>8</v>
      </c>
      <c r="T29">
        <v>2.4</v>
      </c>
      <c r="U29">
        <v>2.1</v>
      </c>
      <c r="V29">
        <v>28.3</v>
      </c>
      <c r="W29">
        <v>36.200000000000003</v>
      </c>
      <c r="X29">
        <v>67</v>
      </c>
      <c r="Y29">
        <v>27.1</v>
      </c>
      <c r="Z29">
        <v>12.2</v>
      </c>
      <c r="AA29">
        <v>16.899999999999999</v>
      </c>
      <c r="AB29">
        <v>25.2</v>
      </c>
      <c r="AC29">
        <v>8.4</v>
      </c>
      <c r="AD29">
        <v>64</v>
      </c>
      <c r="AE29">
        <v>10.5</v>
      </c>
      <c r="AF29">
        <v>0.35</v>
      </c>
      <c r="AG29">
        <v>48.1</v>
      </c>
      <c r="AH29">
        <v>0.56999999999999995</v>
      </c>
      <c r="AI29">
        <v>9.8000000000000007</v>
      </c>
      <c r="AJ29">
        <v>28</v>
      </c>
      <c r="AK29">
        <v>12</v>
      </c>
    </row>
    <row r="30" spans="1:37" x14ac:dyDescent="0.35">
      <c r="A30" t="s">
        <v>212</v>
      </c>
      <c r="B30">
        <v>1</v>
      </c>
      <c r="K30">
        <v>10</v>
      </c>
      <c r="L30">
        <v>39</v>
      </c>
      <c r="M30">
        <v>161</v>
      </c>
      <c r="N30">
        <v>65</v>
      </c>
      <c r="O30">
        <v>9</v>
      </c>
      <c r="P30">
        <v>4.2</v>
      </c>
      <c r="Q30">
        <v>2.5</v>
      </c>
      <c r="R30">
        <v>1.7</v>
      </c>
      <c r="S30">
        <v>7</v>
      </c>
      <c r="T30">
        <v>16</v>
      </c>
      <c r="U30">
        <v>2.2999999999999998</v>
      </c>
      <c r="V30">
        <v>21</v>
      </c>
      <c r="W30">
        <v>32.299999999999997</v>
      </c>
      <c r="X30">
        <v>92</v>
      </c>
      <c r="Y30">
        <v>68</v>
      </c>
      <c r="Z30">
        <v>11.7</v>
      </c>
      <c r="AA30">
        <v>17.600000000000001</v>
      </c>
      <c r="AB30">
        <v>45.8</v>
      </c>
      <c r="AC30">
        <v>9</v>
      </c>
      <c r="AD30">
        <v>103</v>
      </c>
      <c r="AE30">
        <v>10.9</v>
      </c>
      <c r="AF30">
        <v>0.45</v>
      </c>
      <c r="AG30">
        <v>36.799999999999997</v>
      </c>
      <c r="AH30">
        <v>0.57999999999999996</v>
      </c>
      <c r="AI30">
        <v>10.8</v>
      </c>
      <c r="AJ30">
        <v>18</v>
      </c>
      <c r="AK30">
        <v>13</v>
      </c>
    </row>
    <row r="31" spans="1:37" x14ac:dyDescent="0.35">
      <c r="A31" t="s">
        <v>213</v>
      </c>
      <c r="B31">
        <v>1</v>
      </c>
      <c r="K31">
        <v>9</v>
      </c>
      <c r="L31">
        <v>41</v>
      </c>
      <c r="M31">
        <v>160</v>
      </c>
      <c r="N31">
        <v>89</v>
      </c>
      <c r="O31">
        <v>9.8000000000000007</v>
      </c>
      <c r="P31">
        <v>4.4000000000000004</v>
      </c>
      <c r="Q31">
        <v>4.5</v>
      </c>
      <c r="R31">
        <v>2.2999999999999998</v>
      </c>
      <c r="S31">
        <v>6</v>
      </c>
      <c r="T31">
        <v>25</v>
      </c>
      <c r="U31">
        <v>2.5</v>
      </c>
      <c r="V31">
        <v>32</v>
      </c>
      <c r="W31">
        <v>44.7</v>
      </c>
      <c r="X31">
        <v>81</v>
      </c>
      <c r="Y31">
        <v>46.6</v>
      </c>
      <c r="Z31">
        <v>14.4</v>
      </c>
      <c r="AA31">
        <v>21.6</v>
      </c>
      <c r="AB31">
        <v>33.700000000000003</v>
      </c>
      <c r="AC31">
        <v>9</v>
      </c>
      <c r="AD31">
        <v>76</v>
      </c>
      <c r="AE31">
        <v>13</v>
      </c>
      <c r="AF31">
        <v>0.44</v>
      </c>
      <c r="AG31">
        <v>62.5</v>
      </c>
      <c r="AH31">
        <v>0.88</v>
      </c>
      <c r="AI31">
        <v>18.600000000000001</v>
      </c>
      <c r="AJ31">
        <v>34</v>
      </c>
      <c r="AK31">
        <v>14</v>
      </c>
    </row>
    <row r="32" spans="1:37" x14ac:dyDescent="0.35">
      <c r="A32" t="s">
        <v>214</v>
      </c>
      <c r="B32">
        <v>1</v>
      </c>
      <c r="K32">
        <v>11</v>
      </c>
      <c r="L32">
        <v>41</v>
      </c>
      <c r="M32">
        <v>156</v>
      </c>
      <c r="N32">
        <v>42</v>
      </c>
      <c r="O32">
        <v>8.8000000000000007</v>
      </c>
      <c r="P32">
        <v>3.7</v>
      </c>
      <c r="Q32">
        <v>1.7</v>
      </c>
      <c r="R32">
        <v>3</v>
      </c>
      <c r="S32">
        <v>11</v>
      </c>
      <c r="T32">
        <v>16</v>
      </c>
      <c r="U32">
        <v>2.4</v>
      </c>
      <c r="V32">
        <v>11.2</v>
      </c>
      <c r="W32">
        <v>34.299999999999997</v>
      </c>
      <c r="X32">
        <v>47</v>
      </c>
      <c r="Y32">
        <v>60.1</v>
      </c>
      <c r="Z32">
        <v>12.6</v>
      </c>
      <c r="AA32">
        <v>20.8</v>
      </c>
      <c r="AB32">
        <v>33</v>
      </c>
      <c r="AC32">
        <v>9.1</v>
      </c>
      <c r="AD32">
        <v>53</v>
      </c>
      <c r="AE32">
        <v>12</v>
      </c>
      <c r="AF32">
        <v>0.62</v>
      </c>
      <c r="AG32">
        <v>20.7</v>
      </c>
      <c r="AH32">
        <v>0.65</v>
      </c>
      <c r="AI32">
        <v>8.6999999999999993</v>
      </c>
      <c r="AJ32">
        <v>20</v>
      </c>
      <c r="AK32">
        <v>8</v>
      </c>
    </row>
    <row r="33" spans="1:37" x14ac:dyDescent="0.35">
      <c r="A33" t="s">
        <v>215</v>
      </c>
      <c r="B33">
        <v>1</v>
      </c>
      <c r="K33">
        <v>8</v>
      </c>
      <c r="L33">
        <v>41</v>
      </c>
      <c r="M33">
        <v>160</v>
      </c>
      <c r="N33">
        <v>83</v>
      </c>
      <c r="O33">
        <v>9</v>
      </c>
      <c r="P33">
        <v>3.4</v>
      </c>
      <c r="Q33">
        <v>2.2999999999999998</v>
      </c>
      <c r="R33">
        <v>2.4</v>
      </c>
      <c r="S33">
        <v>9</v>
      </c>
      <c r="T33">
        <v>19</v>
      </c>
      <c r="U33">
        <v>2.1</v>
      </c>
      <c r="V33">
        <v>27.5</v>
      </c>
      <c r="W33">
        <v>39.200000000000003</v>
      </c>
      <c r="X33">
        <v>84</v>
      </c>
      <c r="Y33">
        <v>38.799999999999997</v>
      </c>
      <c r="Z33">
        <v>12.2</v>
      </c>
      <c r="AA33">
        <v>18.2</v>
      </c>
      <c r="AB33">
        <v>32.700000000000003</v>
      </c>
      <c r="AC33">
        <v>8.5</v>
      </c>
      <c r="AD33">
        <v>77</v>
      </c>
      <c r="AE33">
        <v>10.3</v>
      </c>
      <c r="AF33">
        <v>0.43</v>
      </c>
      <c r="AG33">
        <v>31.7</v>
      </c>
      <c r="AH33">
        <v>0.73</v>
      </c>
      <c r="AI33">
        <v>11.8</v>
      </c>
      <c r="AJ33">
        <v>25</v>
      </c>
      <c r="AK33">
        <v>10</v>
      </c>
    </row>
    <row r="34" spans="1:37" x14ac:dyDescent="0.35">
      <c r="A34" t="s">
        <v>216</v>
      </c>
      <c r="B34">
        <v>1</v>
      </c>
      <c r="K34">
        <v>11</v>
      </c>
      <c r="L34">
        <v>46</v>
      </c>
      <c r="M34">
        <v>160</v>
      </c>
      <c r="N34">
        <v>51</v>
      </c>
      <c r="O34">
        <v>9.3000000000000007</v>
      </c>
      <c r="P34">
        <v>3.3</v>
      </c>
      <c r="Q34">
        <v>2</v>
      </c>
      <c r="R34">
        <v>1.7</v>
      </c>
      <c r="S34">
        <v>6</v>
      </c>
      <c r="T34">
        <v>13</v>
      </c>
      <c r="U34">
        <v>3.3</v>
      </c>
      <c r="V34">
        <v>19.3</v>
      </c>
      <c r="W34">
        <v>29.3</v>
      </c>
      <c r="X34">
        <v>31</v>
      </c>
      <c r="Y34">
        <v>20.399999999999999</v>
      </c>
      <c r="Z34">
        <v>12.3</v>
      </c>
      <c r="AA34">
        <v>18</v>
      </c>
      <c r="AB34">
        <v>12.6</v>
      </c>
      <c r="AC34">
        <v>7.7</v>
      </c>
      <c r="AD34">
        <v>30</v>
      </c>
      <c r="AE34">
        <v>9.8000000000000007</v>
      </c>
      <c r="AF34">
        <v>0.34</v>
      </c>
      <c r="AG34">
        <v>20.5</v>
      </c>
      <c r="AH34">
        <v>1</v>
      </c>
      <c r="AI34">
        <v>7.9</v>
      </c>
      <c r="AJ34">
        <v>43</v>
      </c>
      <c r="AK34">
        <v>9</v>
      </c>
    </row>
    <row r="35" spans="1:37" x14ac:dyDescent="0.35">
      <c r="A35" t="s">
        <v>217</v>
      </c>
      <c r="B35">
        <v>1</v>
      </c>
      <c r="K35">
        <v>12</v>
      </c>
      <c r="L35">
        <v>47</v>
      </c>
      <c r="M35">
        <v>161</v>
      </c>
      <c r="N35">
        <v>109</v>
      </c>
      <c r="O35">
        <v>9.6999999999999993</v>
      </c>
      <c r="P35">
        <v>5.0999999999999996</v>
      </c>
      <c r="Q35">
        <v>3.2</v>
      </c>
      <c r="R35">
        <v>2.8</v>
      </c>
      <c r="S35">
        <v>7</v>
      </c>
      <c r="T35">
        <v>22</v>
      </c>
      <c r="U35">
        <v>2.7</v>
      </c>
      <c r="V35">
        <v>33</v>
      </c>
      <c r="W35">
        <v>39.299999999999997</v>
      </c>
      <c r="X35">
        <v>48</v>
      </c>
      <c r="Y35">
        <v>27</v>
      </c>
      <c r="Z35">
        <v>13.6</v>
      </c>
      <c r="AA35">
        <v>17.7</v>
      </c>
      <c r="AB35">
        <v>18.5</v>
      </c>
      <c r="AC35">
        <v>9</v>
      </c>
      <c r="AD35">
        <v>50</v>
      </c>
      <c r="AE35">
        <v>11.1</v>
      </c>
      <c r="AF35">
        <v>0.38</v>
      </c>
      <c r="AG35">
        <v>80.5</v>
      </c>
      <c r="AH35">
        <v>0.51</v>
      </c>
      <c r="AI35">
        <v>7.9</v>
      </c>
      <c r="AJ35">
        <v>29</v>
      </c>
      <c r="AK35">
        <v>8</v>
      </c>
    </row>
    <row r="36" spans="1:37" x14ac:dyDescent="0.35">
      <c r="A36" t="s">
        <v>218</v>
      </c>
      <c r="B36">
        <v>1</v>
      </c>
      <c r="K36">
        <v>10</v>
      </c>
      <c r="L36">
        <v>43</v>
      </c>
      <c r="M36">
        <v>161</v>
      </c>
      <c r="N36">
        <v>62</v>
      </c>
      <c r="O36">
        <v>9.6999999999999993</v>
      </c>
      <c r="P36">
        <v>4.4000000000000004</v>
      </c>
      <c r="Q36">
        <v>1.8</v>
      </c>
      <c r="R36">
        <v>2.9</v>
      </c>
      <c r="S36">
        <v>13</v>
      </c>
      <c r="T36">
        <v>22</v>
      </c>
      <c r="U36">
        <v>2.1</v>
      </c>
      <c r="V36">
        <v>12.5</v>
      </c>
      <c r="W36">
        <v>39.200000000000003</v>
      </c>
      <c r="X36">
        <v>31</v>
      </c>
      <c r="Y36">
        <v>17.399999999999999</v>
      </c>
      <c r="Z36">
        <v>11</v>
      </c>
      <c r="AA36">
        <v>17.600000000000001</v>
      </c>
      <c r="AB36">
        <v>13.1</v>
      </c>
      <c r="AC36">
        <v>8.6</v>
      </c>
      <c r="AD36">
        <v>40</v>
      </c>
      <c r="AE36">
        <v>10.5</v>
      </c>
      <c r="AF36">
        <v>0.3</v>
      </c>
      <c r="AG36">
        <v>29.7</v>
      </c>
      <c r="AH36">
        <v>0.56000000000000005</v>
      </c>
      <c r="AI36">
        <v>4.2</v>
      </c>
      <c r="AJ36">
        <v>26</v>
      </c>
      <c r="AK36">
        <v>11</v>
      </c>
    </row>
    <row r="37" spans="1:37" x14ac:dyDescent="0.35">
      <c r="A37" t="s">
        <v>184</v>
      </c>
      <c r="B37">
        <v>2</v>
      </c>
      <c r="K37">
        <v>9</v>
      </c>
      <c r="L37">
        <v>39</v>
      </c>
      <c r="M37">
        <v>152</v>
      </c>
      <c r="N37">
        <v>82</v>
      </c>
      <c r="O37">
        <v>7.2</v>
      </c>
      <c r="P37">
        <v>2.8</v>
      </c>
      <c r="Q37">
        <v>1.4</v>
      </c>
      <c r="R37">
        <v>1.9</v>
      </c>
      <c r="S37">
        <v>9</v>
      </c>
      <c r="T37">
        <v>13</v>
      </c>
      <c r="U37">
        <v>2.4</v>
      </c>
      <c r="V37">
        <v>12</v>
      </c>
      <c r="W37">
        <v>27.7</v>
      </c>
      <c r="X37">
        <v>36</v>
      </c>
      <c r="Y37">
        <v>31.5</v>
      </c>
      <c r="Z37">
        <v>11.9</v>
      </c>
      <c r="AA37">
        <v>18.899999999999999</v>
      </c>
      <c r="AB37">
        <v>20.399999999999999</v>
      </c>
      <c r="AC37">
        <v>8.1999999999999993</v>
      </c>
      <c r="AD37">
        <v>54</v>
      </c>
      <c r="AE37">
        <v>10.199999999999999</v>
      </c>
      <c r="AF37">
        <v>0.37</v>
      </c>
      <c r="AG37">
        <v>17.2</v>
      </c>
      <c r="AH37">
        <v>0.52</v>
      </c>
      <c r="AI37">
        <v>5.8</v>
      </c>
      <c r="AJ37">
        <v>22</v>
      </c>
      <c r="AK37">
        <v>8</v>
      </c>
    </row>
    <row r="38" spans="1:37" x14ac:dyDescent="0.35">
      <c r="A38" t="s">
        <v>185</v>
      </c>
      <c r="B38">
        <v>2</v>
      </c>
      <c r="K38">
        <v>10</v>
      </c>
      <c r="L38">
        <v>41</v>
      </c>
      <c r="M38">
        <v>160</v>
      </c>
      <c r="N38">
        <v>49</v>
      </c>
      <c r="O38">
        <v>9.6999999999999993</v>
      </c>
      <c r="P38">
        <v>3.6</v>
      </c>
      <c r="Q38">
        <v>3.7</v>
      </c>
      <c r="R38">
        <v>2</v>
      </c>
      <c r="S38">
        <v>4</v>
      </c>
      <c r="T38">
        <v>15</v>
      </c>
      <c r="U38">
        <v>3</v>
      </c>
      <c r="V38">
        <v>34.299999999999997</v>
      </c>
      <c r="W38">
        <v>34</v>
      </c>
      <c r="X38">
        <v>46</v>
      </c>
      <c r="Y38">
        <v>35.299999999999997</v>
      </c>
      <c r="Z38">
        <v>11.9</v>
      </c>
      <c r="AA38">
        <v>19.100000000000001</v>
      </c>
      <c r="AB38">
        <v>15.9</v>
      </c>
      <c r="AC38">
        <v>8.1</v>
      </c>
      <c r="AD38">
        <v>50</v>
      </c>
      <c r="AE38">
        <v>11.6</v>
      </c>
      <c r="AF38">
        <v>0.31</v>
      </c>
      <c r="AG38">
        <v>30.2</v>
      </c>
      <c r="AH38">
        <v>0.56000000000000005</v>
      </c>
      <c r="AI38">
        <v>7.8</v>
      </c>
      <c r="AJ38">
        <v>33</v>
      </c>
      <c r="AK38">
        <v>7</v>
      </c>
    </row>
    <row r="39" spans="1:37" x14ac:dyDescent="0.35">
      <c r="A39" t="s">
        <v>186</v>
      </c>
      <c r="B39">
        <v>2</v>
      </c>
      <c r="K39">
        <v>12</v>
      </c>
      <c r="L39">
        <v>41</v>
      </c>
      <c r="M39">
        <v>151</v>
      </c>
      <c r="N39">
        <v>57</v>
      </c>
      <c r="O39">
        <v>7.9</v>
      </c>
      <c r="P39">
        <v>3.4</v>
      </c>
      <c r="Q39">
        <v>2.4</v>
      </c>
      <c r="R39">
        <v>1.6</v>
      </c>
      <c r="S39">
        <v>6</v>
      </c>
      <c r="T39">
        <v>14</v>
      </c>
      <c r="U39">
        <v>2.6</v>
      </c>
      <c r="V39">
        <v>12.7</v>
      </c>
      <c r="W39">
        <v>28.2</v>
      </c>
      <c r="X39">
        <v>17</v>
      </c>
      <c r="Y39">
        <v>58</v>
      </c>
      <c r="Z39">
        <v>10.1</v>
      </c>
      <c r="AA39">
        <v>20.8</v>
      </c>
      <c r="AB39">
        <v>7.7</v>
      </c>
      <c r="AC39">
        <v>7.3</v>
      </c>
      <c r="AD39">
        <v>25</v>
      </c>
      <c r="AE39">
        <v>10.199999999999999</v>
      </c>
      <c r="AF39">
        <v>0.27</v>
      </c>
      <c r="AG39">
        <v>10.8</v>
      </c>
      <c r="AH39">
        <v>0.7</v>
      </c>
      <c r="AI39">
        <v>3.5</v>
      </c>
      <c r="AJ39">
        <v>33</v>
      </c>
      <c r="AK39">
        <v>9</v>
      </c>
    </row>
    <row r="40" spans="1:37" x14ac:dyDescent="0.35">
      <c r="A40" t="s">
        <v>187</v>
      </c>
      <c r="B40">
        <v>2</v>
      </c>
      <c r="K40">
        <v>12</v>
      </c>
      <c r="L40">
        <v>50</v>
      </c>
      <c r="M40">
        <v>161</v>
      </c>
      <c r="N40">
        <v>67</v>
      </c>
      <c r="O40">
        <v>9.1999999999999993</v>
      </c>
      <c r="P40">
        <v>4</v>
      </c>
      <c r="Q40">
        <v>2.8</v>
      </c>
      <c r="R40">
        <v>2.5</v>
      </c>
      <c r="S40">
        <v>8</v>
      </c>
      <c r="T40">
        <v>22</v>
      </c>
      <c r="U40">
        <v>2.2000000000000002</v>
      </c>
      <c r="V40">
        <v>19.8</v>
      </c>
      <c r="W40">
        <v>38.299999999999997</v>
      </c>
      <c r="X40">
        <v>46</v>
      </c>
      <c r="Y40">
        <v>55.5</v>
      </c>
      <c r="Z40">
        <v>13.4</v>
      </c>
      <c r="AA40">
        <v>19.899999999999999</v>
      </c>
      <c r="AB40">
        <v>21.1</v>
      </c>
      <c r="AC40">
        <v>8.1999999999999993</v>
      </c>
      <c r="AD40">
        <v>52</v>
      </c>
      <c r="AE40">
        <v>10.8</v>
      </c>
      <c r="AF40">
        <v>0.41</v>
      </c>
      <c r="AG40">
        <v>35.799999999999997</v>
      </c>
      <c r="AH40">
        <v>1.01</v>
      </c>
      <c r="AI40">
        <v>8.8000000000000007</v>
      </c>
      <c r="AJ40">
        <v>28</v>
      </c>
      <c r="AK40">
        <v>7</v>
      </c>
    </row>
    <row r="41" spans="1:37" x14ac:dyDescent="0.35">
      <c r="A41" t="s">
        <v>188</v>
      </c>
      <c r="B41">
        <v>2</v>
      </c>
      <c r="K41">
        <v>10</v>
      </c>
      <c r="L41">
        <v>39</v>
      </c>
      <c r="M41">
        <v>156</v>
      </c>
      <c r="N41">
        <v>54</v>
      </c>
      <c r="O41">
        <v>8.8000000000000007</v>
      </c>
      <c r="P41">
        <v>3</v>
      </c>
      <c r="Q41">
        <v>1.8</v>
      </c>
      <c r="R41">
        <v>2.1</v>
      </c>
      <c r="S41">
        <v>7</v>
      </c>
      <c r="T41">
        <v>13</v>
      </c>
      <c r="U41">
        <v>2.4</v>
      </c>
      <c r="V41">
        <v>11.7</v>
      </c>
      <c r="W41">
        <v>29.8</v>
      </c>
      <c r="X41">
        <v>34</v>
      </c>
      <c r="Y41">
        <v>42.5</v>
      </c>
      <c r="Z41">
        <v>11.8</v>
      </c>
      <c r="AA41">
        <v>20.6</v>
      </c>
      <c r="AB41">
        <v>20.6</v>
      </c>
      <c r="AC41">
        <v>8.4</v>
      </c>
      <c r="AD41">
        <v>43</v>
      </c>
      <c r="AE41">
        <v>11.2</v>
      </c>
      <c r="AF41">
        <v>0.48</v>
      </c>
      <c r="AG41">
        <v>17.2</v>
      </c>
      <c r="AH41">
        <v>0.56000000000000005</v>
      </c>
      <c r="AI41">
        <v>6.3</v>
      </c>
      <c r="AJ41">
        <v>23</v>
      </c>
      <c r="AK41">
        <v>12</v>
      </c>
    </row>
    <row r="42" spans="1:37" x14ac:dyDescent="0.35">
      <c r="A42" t="s">
        <v>189</v>
      </c>
      <c r="B42">
        <v>2</v>
      </c>
      <c r="K42">
        <v>10</v>
      </c>
      <c r="L42">
        <v>45</v>
      </c>
      <c r="M42">
        <v>153</v>
      </c>
      <c r="N42">
        <v>62</v>
      </c>
      <c r="O42">
        <v>8.8000000000000007</v>
      </c>
      <c r="P42">
        <v>3.5</v>
      </c>
      <c r="Q42">
        <v>1.4</v>
      </c>
      <c r="R42">
        <v>2.5</v>
      </c>
      <c r="S42">
        <v>11</v>
      </c>
      <c r="T42">
        <v>15</v>
      </c>
      <c r="U42">
        <v>1.5</v>
      </c>
      <c r="V42">
        <v>13.5</v>
      </c>
      <c r="W42">
        <v>29.7</v>
      </c>
      <c r="X42">
        <v>54</v>
      </c>
      <c r="Y42">
        <v>47.8</v>
      </c>
      <c r="Z42">
        <v>12.7</v>
      </c>
      <c r="AA42">
        <v>20.5</v>
      </c>
      <c r="AB42">
        <v>25.5</v>
      </c>
      <c r="AC42">
        <v>8.4</v>
      </c>
      <c r="AD42">
        <v>60</v>
      </c>
      <c r="AE42">
        <v>10.9</v>
      </c>
      <c r="AF42">
        <v>0.42</v>
      </c>
      <c r="AG42">
        <v>24.2</v>
      </c>
      <c r="AH42">
        <v>0.95</v>
      </c>
      <c r="AI42">
        <v>13.8</v>
      </c>
      <c r="AJ42">
        <v>35</v>
      </c>
      <c r="AK42">
        <v>9</v>
      </c>
    </row>
    <row r="43" spans="1:37" x14ac:dyDescent="0.35">
      <c r="A43" t="s">
        <v>190</v>
      </c>
      <c r="B43">
        <v>2</v>
      </c>
      <c r="K43">
        <v>11</v>
      </c>
      <c r="L43">
        <v>46</v>
      </c>
      <c r="M43">
        <v>152</v>
      </c>
      <c r="N43">
        <v>68</v>
      </c>
      <c r="O43">
        <v>8.5</v>
      </c>
      <c r="P43">
        <v>3.4</v>
      </c>
      <c r="Q43">
        <v>1.7</v>
      </c>
      <c r="R43">
        <v>1.7</v>
      </c>
      <c r="S43">
        <v>10</v>
      </c>
      <c r="T43">
        <v>16</v>
      </c>
      <c r="U43">
        <v>2.5</v>
      </c>
      <c r="V43">
        <v>13.5</v>
      </c>
      <c r="W43">
        <v>32.299999999999997</v>
      </c>
      <c r="X43">
        <v>50</v>
      </c>
      <c r="Y43">
        <v>27.1</v>
      </c>
      <c r="Z43">
        <v>11.1</v>
      </c>
      <c r="AA43">
        <v>17.7</v>
      </c>
      <c r="AB43">
        <v>22.4</v>
      </c>
      <c r="AC43">
        <v>7.3</v>
      </c>
      <c r="AD43">
        <v>56</v>
      </c>
      <c r="AE43">
        <v>9.6</v>
      </c>
      <c r="AF43">
        <v>0.31</v>
      </c>
      <c r="AG43">
        <v>23.4</v>
      </c>
      <c r="AH43">
        <v>0.81</v>
      </c>
      <c r="AI43">
        <v>10.5</v>
      </c>
      <c r="AJ43">
        <v>31</v>
      </c>
      <c r="AK43">
        <v>10</v>
      </c>
    </row>
    <row r="44" spans="1:37" x14ac:dyDescent="0.35">
      <c r="A44" t="s">
        <v>191</v>
      </c>
      <c r="B44">
        <v>2</v>
      </c>
      <c r="K44">
        <v>9</v>
      </c>
      <c r="L44">
        <v>47</v>
      </c>
      <c r="M44">
        <v>155</v>
      </c>
      <c r="N44">
        <v>82</v>
      </c>
      <c r="O44">
        <v>9.4</v>
      </c>
      <c r="P44">
        <v>3.6</v>
      </c>
      <c r="Q44">
        <v>1.9</v>
      </c>
      <c r="R44">
        <v>1.9</v>
      </c>
      <c r="S44">
        <v>8</v>
      </c>
      <c r="T44">
        <v>14</v>
      </c>
      <c r="U44">
        <v>2.5</v>
      </c>
      <c r="V44">
        <v>15.7</v>
      </c>
      <c r="W44">
        <v>32.5</v>
      </c>
      <c r="X44">
        <v>20</v>
      </c>
      <c r="Y44">
        <v>26.5</v>
      </c>
      <c r="Z44">
        <v>15.3</v>
      </c>
      <c r="AA44">
        <v>20.8</v>
      </c>
      <c r="AB44">
        <v>12.5</v>
      </c>
      <c r="AC44">
        <v>10</v>
      </c>
      <c r="AD44">
        <v>25</v>
      </c>
      <c r="AE44">
        <v>12</v>
      </c>
      <c r="AF44">
        <v>0.49</v>
      </c>
      <c r="AG44">
        <v>33.5</v>
      </c>
      <c r="AH44">
        <v>0.98</v>
      </c>
      <c r="AI44">
        <v>6.9</v>
      </c>
      <c r="AJ44">
        <v>35</v>
      </c>
      <c r="AK44">
        <v>11</v>
      </c>
    </row>
    <row r="45" spans="1:37" x14ac:dyDescent="0.35">
      <c r="A45" t="s">
        <v>192</v>
      </c>
      <c r="B45">
        <v>2</v>
      </c>
      <c r="K45">
        <v>9</v>
      </c>
      <c r="L45">
        <v>40</v>
      </c>
      <c r="M45">
        <v>151</v>
      </c>
      <c r="N45">
        <v>72</v>
      </c>
      <c r="O45">
        <v>7.8</v>
      </c>
      <c r="P45">
        <v>3.4</v>
      </c>
      <c r="Q45">
        <v>1.4</v>
      </c>
      <c r="R45">
        <v>1.8</v>
      </c>
      <c r="S45">
        <v>10</v>
      </c>
      <c r="T45">
        <v>14</v>
      </c>
      <c r="U45">
        <v>1.5</v>
      </c>
      <c r="V45">
        <v>18.7</v>
      </c>
      <c r="W45">
        <v>24</v>
      </c>
      <c r="X45">
        <v>40</v>
      </c>
      <c r="Y45">
        <v>39.700000000000003</v>
      </c>
      <c r="Z45">
        <v>11.5</v>
      </c>
      <c r="AA45">
        <v>17.899999999999999</v>
      </c>
      <c r="AB45">
        <v>13.3</v>
      </c>
      <c r="AC45">
        <v>8.1999999999999993</v>
      </c>
      <c r="AD45">
        <v>33</v>
      </c>
      <c r="AE45">
        <v>9.8000000000000007</v>
      </c>
      <c r="AF45">
        <v>0.41</v>
      </c>
      <c r="AG45">
        <v>35.5</v>
      </c>
      <c r="AH45">
        <v>0.56000000000000005</v>
      </c>
      <c r="AI45">
        <v>6.5</v>
      </c>
      <c r="AJ45">
        <v>34</v>
      </c>
      <c r="AK45">
        <v>7</v>
      </c>
    </row>
    <row r="46" spans="1:37" x14ac:dyDescent="0.35">
      <c r="A46" t="s">
        <v>193</v>
      </c>
      <c r="B46">
        <v>2</v>
      </c>
      <c r="K46">
        <v>10</v>
      </c>
      <c r="L46">
        <v>43</v>
      </c>
      <c r="M46">
        <v>160</v>
      </c>
      <c r="N46">
        <v>205</v>
      </c>
      <c r="O46">
        <v>7.5</v>
      </c>
      <c r="P46">
        <v>3.6</v>
      </c>
      <c r="Q46">
        <v>2.4</v>
      </c>
      <c r="R46">
        <v>3</v>
      </c>
      <c r="S46">
        <v>8</v>
      </c>
      <c r="T46">
        <v>18</v>
      </c>
      <c r="U46">
        <v>1.7</v>
      </c>
      <c r="V46">
        <v>23</v>
      </c>
      <c r="W46">
        <v>35.799999999999997</v>
      </c>
      <c r="X46">
        <v>106</v>
      </c>
      <c r="Y46">
        <v>33.5</v>
      </c>
      <c r="Z46">
        <v>11</v>
      </c>
      <c r="AA46">
        <v>19.8</v>
      </c>
      <c r="AB46">
        <v>31.9</v>
      </c>
      <c r="AC46">
        <v>8.1999999999999993</v>
      </c>
      <c r="AD46">
        <v>105</v>
      </c>
      <c r="AE46">
        <v>11.2</v>
      </c>
      <c r="AF46">
        <v>0.3</v>
      </c>
      <c r="AG46">
        <v>68.3</v>
      </c>
      <c r="AH46">
        <v>0.52</v>
      </c>
      <c r="AI46">
        <v>12.7</v>
      </c>
      <c r="AJ46">
        <v>30</v>
      </c>
      <c r="AK46">
        <v>14</v>
      </c>
    </row>
    <row r="47" spans="1:37" x14ac:dyDescent="0.35">
      <c r="A47" t="s">
        <v>194</v>
      </c>
      <c r="B47">
        <v>2</v>
      </c>
      <c r="K47">
        <v>8</v>
      </c>
      <c r="L47">
        <v>41</v>
      </c>
      <c r="M47">
        <v>156</v>
      </c>
      <c r="N47">
        <v>50</v>
      </c>
      <c r="O47">
        <v>8</v>
      </c>
      <c r="P47">
        <v>3.2</v>
      </c>
      <c r="Q47">
        <v>2.5</v>
      </c>
      <c r="R47">
        <v>3</v>
      </c>
      <c r="S47">
        <v>7</v>
      </c>
      <c r="T47">
        <v>16</v>
      </c>
      <c r="U47">
        <v>3</v>
      </c>
      <c r="V47">
        <v>22</v>
      </c>
      <c r="W47">
        <v>34.299999999999997</v>
      </c>
      <c r="X47">
        <v>52</v>
      </c>
      <c r="Y47">
        <v>24</v>
      </c>
      <c r="Z47">
        <v>12.8</v>
      </c>
      <c r="AA47">
        <v>17.899999999999999</v>
      </c>
      <c r="AB47">
        <v>25.3</v>
      </c>
      <c r="AC47">
        <v>8.8000000000000007</v>
      </c>
      <c r="AD47">
        <v>55</v>
      </c>
      <c r="AE47">
        <v>11.2</v>
      </c>
      <c r="AF47">
        <v>0.48</v>
      </c>
      <c r="AG47">
        <v>20.100000000000001</v>
      </c>
      <c r="AH47">
        <v>0.77</v>
      </c>
      <c r="AI47">
        <v>10.199999999999999</v>
      </c>
      <c r="AJ47">
        <v>29</v>
      </c>
      <c r="AK47">
        <v>12</v>
      </c>
    </row>
    <row r="48" spans="1:37" x14ac:dyDescent="0.35">
      <c r="A48" t="s">
        <v>195</v>
      </c>
      <c r="B48">
        <v>2</v>
      </c>
      <c r="K48">
        <v>12</v>
      </c>
      <c r="L48">
        <v>49</v>
      </c>
      <c r="M48">
        <v>154</v>
      </c>
      <c r="N48">
        <v>49</v>
      </c>
      <c r="O48">
        <v>7.9</v>
      </c>
      <c r="P48">
        <v>2.8</v>
      </c>
      <c r="Q48">
        <v>1.8</v>
      </c>
      <c r="R48">
        <v>1.7</v>
      </c>
      <c r="S48">
        <v>8</v>
      </c>
      <c r="T48">
        <v>14</v>
      </c>
      <c r="U48">
        <v>1.9</v>
      </c>
      <c r="V48">
        <v>11.8</v>
      </c>
      <c r="W48">
        <v>28</v>
      </c>
      <c r="X48">
        <v>33</v>
      </c>
      <c r="Y48">
        <v>19.5</v>
      </c>
      <c r="Z48">
        <v>12</v>
      </c>
      <c r="AA48">
        <v>19.2</v>
      </c>
      <c r="AB48">
        <v>13.7</v>
      </c>
      <c r="AC48">
        <v>8.5</v>
      </c>
      <c r="AD48">
        <v>38</v>
      </c>
      <c r="AE48">
        <v>10.199999999999999</v>
      </c>
      <c r="AF48">
        <v>0.37</v>
      </c>
      <c r="AG48">
        <v>14.6</v>
      </c>
      <c r="AH48">
        <v>0.67</v>
      </c>
      <c r="AI48">
        <v>6.1</v>
      </c>
      <c r="AJ48">
        <v>30</v>
      </c>
      <c r="AK48">
        <v>6</v>
      </c>
    </row>
    <row r="49" spans="1:37" x14ac:dyDescent="0.35">
      <c r="A49" t="s">
        <v>196</v>
      </c>
      <c r="B49">
        <v>2</v>
      </c>
      <c r="K49">
        <v>10</v>
      </c>
      <c r="L49">
        <v>39</v>
      </c>
      <c r="M49">
        <v>148</v>
      </c>
      <c r="N49">
        <v>35</v>
      </c>
      <c r="O49">
        <v>8.1</v>
      </c>
      <c r="P49">
        <v>2.8</v>
      </c>
      <c r="Q49">
        <v>1.4</v>
      </c>
      <c r="R49">
        <v>1.7</v>
      </c>
      <c r="S49">
        <v>10</v>
      </c>
      <c r="T49">
        <v>14</v>
      </c>
      <c r="U49">
        <v>2.1</v>
      </c>
      <c r="V49">
        <v>10.8</v>
      </c>
      <c r="W49">
        <v>28.5</v>
      </c>
      <c r="X49">
        <v>28</v>
      </c>
      <c r="Y49">
        <v>18.7</v>
      </c>
      <c r="Z49">
        <v>11.4</v>
      </c>
      <c r="AA49">
        <v>21</v>
      </c>
      <c r="AB49">
        <v>20.9</v>
      </c>
      <c r="AC49">
        <v>8.6</v>
      </c>
      <c r="AD49">
        <v>40</v>
      </c>
      <c r="AE49">
        <v>10.8</v>
      </c>
      <c r="AF49">
        <v>0.53</v>
      </c>
      <c r="AG49">
        <v>9.9</v>
      </c>
      <c r="AH49">
        <v>0.72</v>
      </c>
      <c r="AI49">
        <v>5.0999999999999996</v>
      </c>
      <c r="AJ49">
        <v>20</v>
      </c>
      <c r="AK49">
        <v>7</v>
      </c>
    </row>
    <row r="50" spans="1:37" x14ac:dyDescent="0.35">
      <c r="A50" t="s">
        <v>197</v>
      </c>
      <c r="B50">
        <v>2</v>
      </c>
      <c r="K50">
        <v>10</v>
      </c>
      <c r="L50">
        <v>42</v>
      </c>
      <c r="M50">
        <v>153</v>
      </c>
      <c r="N50">
        <v>54</v>
      </c>
      <c r="O50">
        <v>8.3000000000000007</v>
      </c>
      <c r="P50">
        <v>3.3</v>
      </c>
      <c r="Q50">
        <v>2</v>
      </c>
      <c r="R50">
        <v>2.1</v>
      </c>
      <c r="S50">
        <v>7</v>
      </c>
      <c r="T50">
        <v>14</v>
      </c>
      <c r="U50">
        <v>3</v>
      </c>
      <c r="V50">
        <v>14.2</v>
      </c>
      <c r="W50">
        <v>30.7</v>
      </c>
      <c r="X50">
        <v>22</v>
      </c>
      <c r="Y50">
        <v>45.1</v>
      </c>
      <c r="Z50">
        <v>12.4</v>
      </c>
      <c r="AA50">
        <v>20.3</v>
      </c>
      <c r="AB50">
        <v>9.9</v>
      </c>
      <c r="AC50">
        <v>8.6</v>
      </c>
      <c r="AD50">
        <v>30</v>
      </c>
      <c r="AE50">
        <v>10.5</v>
      </c>
      <c r="AF50">
        <v>0.38</v>
      </c>
      <c r="AG50">
        <v>20.2</v>
      </c>
      <c r="AH50">
        <v>0.7</v>
      </c>
      <c r="AI50">
        <v>6.8</v>
      </c>
      <c r="AJ50">
        <v>37</v>
      </c>
      <c r="AK50">
        <v>8</v>
      </c>
    </row>
    <row r="51" spans="1:37" x14ac:dyDescent="0.35">
      <c r="A51" t="s">
        <v>198</v>
      </c>
      <c r="B51">
        <v>2</v>
      </c>
      <c r="K51">
        <v>10</v>
      </c>
      <c r="L51">
        <v>47</v>
      </c>
      <c r="M51">
        <v>152</v>
      </c>
      <c r="N51">
        <v>47</v>
      </c>
      <c r="O51">
        <v>8.9</v>
      </c>
      <c r="P51">
        <v>4</v>
      </c>
      <c r="Q51">
        <v>1.4</v>
      </c>
      <c r="R51">
        <v>1.9</v>
      </c>
      <c r="S51">
        <v>10</v>
      </c>
      <c r="T51">
        <v>15</v>
      </c>
      <c r="U51">
        <v>1.8</v>
      </c>
      <c r="V51">
        <v>10.7</v>
      </c>
      <c r="W51">
        <v>32</v>
      </c>
      <c r="X51">
        <v>10</v>
      </c>
      <c r="Y51">
        <v>35.9</v>
      </c>
      <c r="Z51">
        <v>9.6999999999999993</v>
      </c>
      <c r="AA51">
        <v>16.399999999999999</v>
      </c>
      <c r="AB51">
        <v>2.8</v>
      </c>
      <c r="AC51">
        <v>6.9</v>
      </c>
      <c r="AD51">
        <v>15</v>
      </c>
      <c r="AE51">
        <v>9</v>
      </c>
      <c r="AF51">
        <v>0.18</v>
      </c>
      <c r="AG51">
        <v>13.2</v>
      </c>
      <c r="AH51">
        <v>0.84</v>
      </c>
      <c r="AI51">
        <v>1.7</v>
      </c>
      <c r="AJ51">
        <v>40</v>
      </c>
      <c r="AK51">
        <v>6</v>
      </c>
    </row>
    <row r="52" spans="1:37" x14ac:dyDescent="0.35">
      <c r="A52" t="s">
        <v>199</v>
      </c>
      <c r="B52">
        <v>2</v>
      </c>
      <c r="K52">
        <v>11</v>
      </c>
      <c r="L52">
        <v>45</v>
      </c>
      <c r="M52">
        <v>151</v>
      </c>
      <c r="N52">
        <v>84</v>
      </c>
      <c r="O52">
        <v>8.3000000000000007</v>
      </c>
      <c r="P52">
        <v>3.3</v>
      </c>
      <c r="Q52">
        <v>1.8</v>
      </c>
      <c r="R52">
        <v>2.2999999999999998</v>
      </c>
      <c r="S52">
        <v>8</v>
      </c>
      <c r="T52">
        <v>15</v>
      </c>
      <c r="U52">
        <v>2.1</v>
      </c>
      <c r="V52">
        <v>12</v>
      </c>
      <c r="W52">
        <v>31</v>
      </c>
      <c r="X52">
        <v>11</v>
      </c>
      <c r="Y52">
        <v>20.2</v>
      </c>
      <c r="Z52">
        <v>12</v>
      </c>
      <c r="AA52">
        <v>19.3</v>
      </c>
      <c r="AB52">
        <v>3.5</v>
      </c>
      <c r="AC52">
        <v>7</v>
      </c>
      <c r="AD52">
        <v>12</v>
      </c>
      <c r="AE52">
        <v>9.4</v>
      </c>
      <c r="AF52">
        <v>0.3</v>
      </c>
      <c r="AG52">
        <v>28.9</v>
      </c>
      <c r="AH52">
        <v>0.87</v>
      </c>
      <c r="AI52">
        <v>3.1</v>
      </c>
      <c r="AJ52">
        <v>49</v>
      </c>
      <c r="AK52">
        <v>8</v>
      </c>
    </row>
    <row r="53" spans="1:37" x14ac:dyDescent="0.35">
      <c r="A53" t="s">
        <v>200</v>
      </c>
      <c r="B53">
        <v>2</v>
      </c>
      <c r="K53">
        <v>10</v>
      </c>
      <c r="L53">
        <v>43</v>
      </c>
      <c r="M53">
        <v>156</v>
      </c>
      <c r="N53">
        <v>52</v>
      </c>
      <c r="O53">
        <v>8.4</v>
      </c>
      <c r="P53">
        <v>3.9</v>
      </c>
      <c r="Q53">
        <v>2</v>
      </c>
      <c r="R53">
        <v>1.4</v>
      </c>
      <c r="S53">
        <v>8</v>
      </c>
      <c r="T53">
        <v>16</v>
      </c>
      <c r="U53">
        <v>3.2</v>
      </c>
      <c r="V53">
        <v>12.3</v>
      </c>
      <c r="W53">
        <v>31.7</v>
      </c>
      <c r="X53">
        <v>20</v>
      </c>
      <c r="Y53">
        <v>26.2</v>
      </c>
      <c r="Z53">
        <v>14</v>
      </c>
      <c r="AA53">
        <v>20.9</v>
      </c>
      <c r="AB53">
        <v>10.6</v>
      </c>
      <c r="AC53">
        <v>8.9</v>
      </c>
      <c r="AD53">
        <v>26</v>
      </c>
      <c r="AE53">
        <v>11.8</v>
      </c>
      <c r="AF53">
        <v>0.4</v>
      </c>
      <c r="AG53">
        <v>22.6</v>
      </c>
      <c r="AH53">
        <v>1.35</v>
      </c>
      <c r="AI53">
        <v>6.5</v>
      </c>
      <c r="AJ53">
        <v>37</v>
      </c>
      <c r="AK53">
        <v>7</v>
      </c>
    </row>
    <row r="54" spans="1:37" x14ac:dyDescent="0.35">
      <c r="A54" t="s">
        <v>201</v>
      </c>
      <c r="B54">
        <v>2</v>
      </c>
      <c r="K54">
        <v>13</v>
      </c>
      <c r="L54">
        <v>41</v>
      </c>
      <c r="M54">
        <v>139</v>
      </c>
      <c r="N54">
        <v>39</v>
      </c>
      <c r="O54">
        <v>8.9</v>
      </c>
      <c r="P54">
        <v>3.2</v>
      </c>
      <c r="Q54">
        <v>1.1000000000000001</v>
      </c>
      <c r="R54">
        <v>1.9</v>
      </c>
      <c r="S54">
        <v>14</v>
      </c>
      <c r="T54">
        <v>14</v>
      </c>
      <c r="U54">
        <v>2.2000000000000002</v>
      </c>
      <c r="V54">
        <v>8.6999999999999993</v>
      </c>
      <c r="W54">
        <v>31.5</v>
      </c>
      <c r="X54">
        <v>30</v>
      </c>
      <c r="Y54">
        <v>11.5</v>
      </c>
      <c r="Z54">
        <v>11.2</v>
      </c>
      <c r="AA54">
        <v>17.899999999999999</v>
      </c>
      <c r="AB54">
        <v>16.100000000000001</v>
      </c>
      <c r="AC54">
        <v>8</v>
      </c>
      <c r="AD54">
        <v>39</v>
      </c>
      <c r="AE54">
        <v>10</v>
      </c>
      <c r="AF54">
        <v>0.41</v>
      </c>
      <c r="AG54">
        <v>11.2</v>
      </c>
      <c r="AH54">
        <v>0.61</v>
      </c>
      <c r="AI54">
        <v>5.3</v>
      </c>
      <c r="AJ54">
        <v>25</v>
      </c>
      <c r="AK54">
        <v>10</v>
      </c>
    </row>
    <row r="55" spans="1:37" x14ac:dyDescent="0.35">
      <c r="A55" t="s">
        <v>202</v>
      </c>
      <c r="B55">
        <v>2</v>
      </c>
      <c r="K55">
        <v>8</v>
      </c>
      <c r="L55">
        <v>38</v>
      </c>
      <c r="M55">
        <v>160</v>
      </c>
      <c r="N55">
        <v>104</v>
      </c>
      <c r="O55">
        <v>8.3000000000000007</v>
      </c>
      <c r="P55">
        <v>4.4000000000000004</v>
      </c>
      <c r="Q55">
        <v>2.6</v>
      </c>
      <c r="R55">
        <v>3</v>
      </c>
      <c r="S55">
        <v>7</v>
      </c>
      <c r="T55">
        <v>18</v>
      </c>
      <c r="U55">
        <v>2.2000000000000002</v>
      </c>
      <c r="V55">
        <v>27.3</v>
      </c>
      <c r="W55">
        <v>34.799999999999997</v>
      </c>
      <c r="X55">
        <v>86</v>
      </c>
      <c r="Y55">
        <v>16.8</v>
      </c>
      <c r="Z55">
        <v>12.6</v>
      </c>
      <c r="AA55">
        <v>20.100000000000001</v>
      </c>
      <c r="AB55">
        <v>45.8</v>
      </c>
      <c r="AC55">
        <v>9.4</v>
      </c>
      <c r="AD55">
        <v>102</v>
      </c>
      <c r="AE55">
        <v>12.3</v>
      </c>
      <c r="AF55">
        <v>0.46</v>
      </c>
      <c r="AG55">
        <v>42.7</v>
      </c>
      <c r="AH55">
        <v>0.6</v>
      </c>
      <c r="AI55">
        <v>13.2</v>
      </c>
      <c r="AJ55">
        <v>22</v>
      </c>
      <c r="AK55">
        <v>9</v>
      </c>
    </row>
    <row r="56" spans="1:37" x14ac:dyDescent="0.35">
      <c r="A56" t="s">
        <v>203</v>
      </c>
      <c r="B56">
        <v>2</v>
      </c>
      <c r="K56">
        <v>11</v>
      </c>
      <c r="L56">
        <v>43</v>
      </c>
      <c r="M56">
        <v>143</v>
      </c>
      <c r="N56">
        <v>150</v>
      </c>
      <c r="O56">
        <v>9</v>
      </c>
      <c r="P56">
        <v>4</v>
      </c>
      <c r="Q56">
        <v>2.6</v>
      </c>
      <c r="R56">
        <v>4.0999999999999996</v>
      </c>
      <c r="S56">
        <v>8</v>
      </c>
      <c r="T56">
        <v>21</v>
      </c>
      <c r="U56">
        <v>2.2000000000000002</v>
      </c>
      <c r="V56">
        <v>23</v>
      </c>
      <c r="W56">
        <v>38.299999999999997</v>
      </c>
      <c r="X56">
        <v>35</v>
      </c>
      <c r="Y56">
        <v>4.2</v>
      </c>
      <c r="Z56">
        <v>11.4</v>
      </c>
      <c r="AA56">
        <v>19.7</v>
      </c>
      <c r="AB56">
        <v>13.3</v>
      </c>
      <c r="AC56">
        <v>7.7</v>
      </c>
      <c r="AD56">
        <v>50</v>
      </c>
      <c r="AE56">
        <v>9.9</v>
      </c>
      <c r="AF56">
        <v>0.25</v>
      </c>
      <c r="AG56">
        <v>54.1</v>
      </c>
      <c r="AH56">
        <v>0.68</v>
      </c>
      <c r="AI56">
        <v>9.1</v>
      </c>
      <c r="AJ56">
        <v>42</v>
      </c>
      <c r="AK56">
        <v>14</v>
      </c>
    </row>
    <row r="57" spans="1:37" x14ac:dyDescent="0.35">
      <c r="A57" t="s">
        <v>204</v>
      </c>
      <c r="B57">
        <v>2</v>
      </c>
      <c r="K57">
        <v>8</v>
      </c>
      <c r="L57">
        <v>45</v>
      </c>
      <c r="M57">
        <v>160</v>
      </c>
      <c r="N57">
        <v>198</v>
      </c>
      <c r="O57">
        <v>8</v>
      </c>
      <c r="P57">
        <v>3.4</v>
      </c>
      <c r="Q57">
        <v>2.8</v>
      </c>
      <c r="R57">
        <v>3.4</v>
      </c>
      <c r="S57">
        <v>8</v>
      </c>
      <c r="T57">
        <v>22</v>
      </c>
      <c r="U57">
        <v>1.5</v>
      </c>
      <c r="V57">
        <v>25.2</v>
      </c>
      <c r="W57">
        <v>39.5</v>
      </c>
      <c r="X57">
        <v>106</v>
      </c>
      <c r="Y57">
        <v>6.6</v>
      </c>
      <c r="Z57">
        <v>11.6</v>
      </c>
      <c r="AA57">
        <v>18.399999999999999</v>
      </c>
      <c r="AB57">
        <v>28.9</v>
      </c>
      <c r="AC57">
        <v>8.4</v>
      </c>
      <c r="AD57">
        <v>94</v>
      </c>
      <c r="AE57">
        <v>11.1</v>
      </c>
      <c r="AF57">
        <v>0.33</v>
      </c>
      <c r="AG57">
        <v>76.3</v>
      </c>
      <c r="AH57">
        <v>0.63</v>
      </c>
      <c r="AI57">
        <v>15.3</v>
      </c>
      <c r="AJ57">
        <v>34</v>
      </c>
      <c r="AK57">
        <v>11</v>
      </c>
    </row>
    <row r="58" spans="1:37" x14ac:dyDescent="0.35">
      <c r="A58" t="s">
        <v>205</v>
      </c>
      <c r="B58">
        <v>2</v>
      </c>
      <c r="K58">
        <v>10</v>
      </c>
      <c r="L58">
        <v>47</v>
      </c>
      <c r="M58">
        <v>160</v>
      </c>
      <c r="N58">
        <v>81</v>
      </c>
      <c r="O58">
        <v>8</v>
      </c>
      <c r="P58">
        <v>3.8</v>
      </c>
      <c r="Q58">
        <v>3</v>
      </c>
      <c r="R58">
        <v>2</v>
      </c>
      <c r="S58">
        <v>5</v>
      </c>
      <c r="T58">
        <v>16</v>
      </c>
      <c r="U58">
        <v>2.2000000000000002</v>
      </c>
      <c r="V58">
        <v>23</v>
      </c>
      <c r="W58">
        <v>32.299999999999997</v>
      </c>
      <c r="X58">
        <v>121</v>
      </c>
      <c r="Y58">
        <v>17.100000000000001</v>
      </c>
      <c r="Z58">
        <v>10.5</v>
      </c>
      <c r="AA58">
        <v>15.9</v>
      </c>
      <c r="AB58">
        <v>35.5</v>
      </c>
      <c r="AC58">
        <v>7.8</v>
      </c>
      <c r="AD58">
        <v>133</v>
      </c>
      <c r="AE58">
        <v>9.5</v>
      </c>
      <c r="AF58">
        <v>0.27</v>
      </c>
      <c r="AG58">
        <v>33.700000000000003</v>
      </c>
      <c r="AH58">
        <v>0.54</v>
      </c>
      <c r="AI58">
        <v>11.7</v>
      </c>
      <c r="AJ58">
        <v>24</v>
      </c>
      <c r="AK58">
        <v>12</v>
      </c>
    </row>
    <row r="59" spans="1:37" x14ac:dyDescent="0.35">
      <c r="A59" t="s">
        <v>206</v>
      </c>
      <c r="B59">
        <v>2</v>
      </c>
      <c r="K59">
        <v>9</v>
      </c>
      <c r="L59">
        <v>39</v>
      </c>
      <c r="M59">
        <v>143</v>
      </c>
      <c r="N59">
        <v>55</v>
      </c>
      <c r="O59">
        <v>8.6</v>
      </c>
      <c r="P59">
        <v>4.0999999999999996</v>
      </c>
      <c r="Q59">
        <v>2.4</v>
      </c>
      <c r="R59">
        <v>1.8</v>
      </c>
      <c r="S59">
        <v>7</v>
      </c>
      <c r="T59">
        <v>16</v>
      </c>
      <c r="U59">
        <v>2.2000000000000002</v>
      </c>
      <c r="V59">
        <v>18.8</v>
      </c>
      <c r="W59">
        <v>29.7</v>
      </c>
      <c r="X59">
        <v>48</v>
      </c>
      <c r="Y59">
        <v>21.3</v>
      </c>
      <c r="Z59">
        <v>10.5</v>
      </c>
      <c r="AA59">
        <v>15.4</v>
      </c>
      <c r="AB59">
        <v>20.7</v>
      </c>
      <c r="AC59">
        <v>7.6</v>
      </c>
      <c r="AD59">
        <v>48</v>
      </c>
      <c r="AE59">
        <v>9.6</v>
      </c>
      <c r="AF59">
        <v>0.34</v>
      </c>
      <c r="AG59">
        <v>21.5</v>
      </c>
      <c r="AH59">
        <v>0.56000000000000005</v>
      </c>
      <c r="AI59">
        <v>6.4</v>
      </c>
      <c r="AJ59">
        <v>31</v>
      </c>
      <c r="AK59">
        <v>9</v>
      </c>
    </row>
    <row r="60" spans="1:37" x14ac:dyDescent="0.35">
      <c r="A60" t="s">
        <v>207</v>
      </c>
      <c r="B60">
        <v>2</v>
      </c>
      <c r="K60">
        <v>10</v>
      </c>
      <c r="L60">
        <v>39</v>
      </c>
      <c r="M60">
        <v>160</v>
      </c>
      <c r="N60">
        <v>105</v>
      </c>
      <c r="O60">
        <v>9</v>
      </c>
      <c r="P60">
        <v>3.8</v>
      </c>
      <c r="Q60">
        <v>2</v>
      </c>
      <c r="R60">
        <v>2.6</v>
      </c>
      <c r="S60">
        <v>9</v>
      </c>
      <c r="T60">
        <v>17</v>
      </c>
      <c r="U60">
        <v>2.4</v>
      </c>
      <c r="V60">
        <v>16.3</v>
      </c>
      <c r="W60">
        <v>36</v>
      </c>
      <c r="X60">
        <v>105</v>
      </c>
      <c r="Y60">
        <v>59.6</v>
      </c>
      <c r="Z60">
        <v>13.1</v>
      </c>
      <c r="AA60">
        <v>18.600000000000001</v>
      </c>
      <c r="AB60">
        <v>49.1</v>
      </c>
      <c r="AC60">
        <v>9.1999999999999993</v>
      </c>
      <c r="AD60">
        <v>107</v>
      </c>
      <c r="AE60">
        <v>11</v>
      </c>
      <c r="AF60">
        <v>0.46</v>
      </c>
      <c r="AG60">
        <v>53.2</v>
      </c>
      <c r="AH60">
        <v>0.56000000000000005</v>
      </c>
      <c r="AI60">
        <v>17.5</v>
      </c>
      <c r="AJ60">
        <v>25</v>
      </c>
      <c r="AK60">
        <v>14</v>
      </c>
    </row>
    <row r="61" spans="1:37" x14ac:dyDescent="0.35">
      <c r="A61" t="s">
        <v>208</v>
      </c>
      <c r="B61">
        <v>2</v>
      </c>
      <c r="K61">
        <v>10</v>
      </c>
      <c r="L61">
        <v>39</v>
      </c>
      <c r="M61">
        <v>161</v>
      </c>
      <c r="N61">
        <v>79</v>
      </c>
      <c r="O61">
        <v>8.3000000000000007</v>
      </c>
      <c r="P61">
        <v>3.6</v>
      </c>
      <c r="Q61">
        <v>2.8</v>
      </c>
      <c r="R61">
        <v>2.4</v>
      </c>
      <c r="S61">
        <v>7</v>
      </c>
      <c r="T61">
        <v>20</v>
      </c>
      <c r="U61">
        <v>2.2000000000000002</v>
      </c>
      <c r="V61">
        <v>22.3</v>
      </c>
      <c r="W61">
        <v>36</v>
      </c>
      <c r="X61">
        <v>87</v>
      </c>
      <c r="Y61">
        <v>23</v>
      </c>
      <c r="Z61">
        <v>12.5</v>
      </c>
      <c r="AA61">
        <v>17.5</v>
      </c>
      <c r="AB61">
        <v>32.4</v>
      </c>
      <c r="AC61">
        <v>8.4</v>
      </c>
      <c r="AD61">
        <v>96</v>
      </c>
      <c r="AE61">
        <v>9.9</v>
      </c>
      <c r="AF61">
        <v>0.34</v>
      </c>
      <c r="AG61">
        <v>35.700000000000003</v>
      </c>
      <c r="AH61">
        <v>0.7</v>
      </c>
      <c r="AI61">
        <v>11.8</v>
      </c>
      <c r="AJ61">
        <v>25</v>
      </c>
      <c r="AK61">
        <v>10</v>
      </c>
    </row>
    <row r="62" spans="1:37" x14ac:dyDescent="0.35">
      <c r="A62" t="s">
        <v>209</v>
      </c>
      <c r="B62">
        <v>2</v>
      </c>
      <c r="K62">
        <v>10</v>
      </c>
      <c r="L62">
        <v>39</v>
      </c>
      <c r="M62">
        <v>68</v>
      </c>
      <c r="N62">
        <v>34</v>
      </c>
      <c r="O62">
        <v>8.3000000000000007</v>
      </c>
      <c r="P62">
        <v>3.7</v>
      </c>
      <c r="Q62">
        <v>3.9</v>
      </c>
      <c r="R62">
        <v>17</v>
      </c>
      <c r="S62">
        <v>4</v>
      </c>
      <c r="T62">
        <v>2.1</v>
      </c>
      <c r="U62">
        <v>3.6</v>
      </c>
      <c r="V62">
        <v>34</v>
      </c>
      <c r="W62">
        <v>35.700000000000003</v>
      </c>
      <c r="X62">
        <v>79</v>
      </c>
      <c r="Y62">
        <v>44</v>
      </c>
      <c r="Z62">
        <v>13.3</v>
      </c>
      <c r="AA62">
        <v>20.5</v>
      </c>
      <c r="AB62">
        <v>47.1</v>
      </c>
      <c r="AC62">
        <v>9.6999999999999993</v>
      </c>
      <c r="AD62">
        <v>86</v>
      </c>
      <c r="AE62">
        <v>12.8</v>
      </c>
      <c r="AF62">
        <v>0.56999999999999995</v>
      </c>
      <c r="AG62">
        <v>34.200000000000003</v>
      </c>
      <c r="AH62">
        <v>0.54</v>
      </c>
      <c r="AI62">
        <v>12.4</v>
      </c>
      <c r="AJ62">
        <v>21</v>
      </c>
      <c r="AK62">
        <v>14</v>
      </c>
    </row>
    <row r="63" spans="1:37" x14ac:dyDescent="0.35">
      <c r="A63" t="s">
        <v>210</v>
      </c>
      <c r="B63">
        <v>2</v>
      </c>
      <c r="K63">
        <v>10</v>
      </c>
      <c r="L63">
        <v>38</v>
      </c>
      <c r="M63">
        <v>116</v>
      </c>
      <c r="N63">
        <v>31.7</v>
      </c>
      <c r="O63">
        <v>8.4</v>
      </c>
      <c r="P63">
        <v>3.8</v>
      </c>
      <c r="Q63">
        <v>3.1</v>
      </c>
      <c r="R63">
        <v>19</v>
      </c>
      <c r="S63">
        <v>6</v>
      </c>
      <c r="T63">
        <v>2.2000000000000002</v>
      </c>
      <c r="U63">
        <v>2.2000000000000002</v>
      </c>
      <c r="V63">
        <v>31.7</v>
      </c>
      <c r="W63">
        <v>35.299999999999997</v>
      </c>
      <c r="X63">
        <v>100</v>
      </c>
      <c r="Y63">
        <v>47.4</v>
      </c>
      <c r="Z63">
        <v>10.9</v>
      </c>
      <c r="AA63">
        <v>15.3</v>
      </c>
      <c r="AB63">
        <v>28.6</v>
      </c>
      <c r="AC63">
        <v>8.1999999999999993</v>
      </c>
      <c r="AD63">
        <v>105</v>
      </c>
      <c r="AE63">
        <v>9.6</v>
      </c>
      <c r="AF63">
        <v>0.27</v>
      </c>
      <c r="AG63">
        <v>46.8</v>
      </c>
      <c r="AH63">
        <v>0.47</v>
      </c>
      <c r="AI63">
        <v>10.199999999999999</v>
      </c>
      <c r="AJ63">
        <v>27</v>
      </c>
      <c r="AK63">
        <v>10</v>
      </c>
    </row>
    <row r="64" spans="1:37" x14ac:dyDescent="0.35">
      <c r="A64" t="s">
        <v>211</v>
      </c>
      <c r="B64">
        <v>2</v>
      </c>
      <c r="K64">
        <v>10</v>
      </c>
      <c r="L64">
        <v>41</v>
      </c>
      <c r="M64">
        <v>116</v>
      </c>
      <c r="N64">
        <v>28.3</v>
      </c>
      <c r="O64">
        <v>8.1999999999999993</v>
      </c>
      <c r="P64">
        <v>3.9</v>
      </c>
      <c r="Q64">
        <v>2.5</v>
      </c>
      <c r="R64">
        <v>19</v>
      </c>
      <c r="S64">
        <v>8</v>
      </c>
      <c r="T64">
        <v>2.4</v>
      </c>
      <c r="U64">
        <v>2.1</v>
      </c>
      <c r="V64">
        <v>28.3</v>
      </c>
      <c r="W64">
        <v>36.200000000000003</v>
      </c>
      <c r="X64">
        <v>67</v>
      </c>
      <c r="Y64">
        <v>27.1</v>
      </c>
      <c r="Z64">
        <v>12.2</v>
      </c>
      <c r="AA64">
        <v>16.899999999999999</v>
      </c>
      <c r="AB64">
        <v>25.2</v>
      </c>
      <c r="AC64">
        <v>8.4</v>
      </c>
      <c r="AD64">
        <v>64</v>
      </c>
      <c r="AE64">
        <v>10.5</v>
      </c>
      <c r="AF64">
        <v>0.35</v>
      </c>
      <c r="AG64">
        <v>48.1</v>
      </c>
      <c r="AH64">
        <v>0.56999999999999995</v>
      </c>
      <c r="AI64">
        <v>9.8000000000000007</v>
      </c>
      <c r="AJ64">
        <v>28</v>
      </c>
      <c r="AK64">
        <v>12</v>
      </c>
    </row>
    <row r="65" spans="1:37" x14ac:dyDescent="0.35">
      <c r="A65" t="s">
        <v>212</v>
      </c>
      <c r="B65">
        <v>2</v>
      </c>
      <c r="K65">
        <v>10</v>
      </c>
      <c r="L65">
        <v>39</v>
      </c>
      <c r="M65">
        <v>161</v>
      </c>
      <c r="N65">
        <v>65</v>
      </c>
      <c r="O65">
        <v>9</v>
      </c>
      <c r="P65">
        <v>4.2</v>
      </c>
      <c r="Q65">
        <v>2.5</v>
      </c>
      <c r="R65">
        <v>1.7</v>
      </c>
      <c r="S65">
        <v>7</v>
      </c>
      <c r="T65">
        <v>16</v>
      </c>
      <c r="U65">
        <v>2.2999999999999998</v>
      </c>
      <c r="V65">
        <v>21</v>
      </c>
      <c r="W65">
        <v>32.299999999999997</v>
      </c>
      <c r="X65">
        <v>92</v>
      </c>
      <c r="Y65">
        <v>68</v>
      </c>
      <c r="Z65">
        <v>11.7</v>
      </c>
      <c r="AA65">
        <v>17.600000000000001</v>
      </c>
      <c r="AB65">
        <v>45.8</v>
      </c>
      <c r="AC65">
        <v>9</v>
      </c>
      <c r="AD65">
        <v>103</v>
      </c>
      <c r="AE65">
        <v>10.9</v>
      </c>
      <c r="AF65">
        <v>0.45</v>
      </c>
      <c r="AG65">
        <v>36.799999999999997</v>
      </c>
      <c r="AH65">
        <v>0.57999999999999996</v>
      </c>
      <c r="AI65">
        <v>10.8</v>
      </c>
      <c r="AJ65">
        <v>18</v>
      </c>
      <c r="AK65">
        <v>13</v>
      </c>
    </row>
    <row r="66" spans="1:37" x14ac:dyDescent="0.35">
      <c r="A66" t="s">
        <v>213</v>
      </c>
      <c r="B66">
        <v>2</v>
      </c>
      <c r="K66">
        <v>9</v>
      </c>
      <c r="L66">
        <v>41</v>
      </c>
      <c r="M66">
        <v>160</v>
      </c>
      <c r="N66">
        <v>89</v>
      </c>
      <c r="O66">
        <v>9.8000000000000007</v>
      </c>
      <c r="P66">
        <v>4.4000000000000004</v>
      </c>
      <c r="Q66">
        <v>4.5</v>
      </c>
      <c r="R66">
        <v>2.2999999999999998</v>
      </c>
      <c r="S66">
        <v>6</v>
      </c>
      <c r="T66">
        <v>25</v>
      </c>
      <c r="U66">
        <v>2.5</v>
      </c>
      <c r="V66">
        <v>32</v>
      </c>
      <c r="W66">
        <v>44.7</v>
      </c>
      <c r="X66">
        <v>81</v>
      </c>
      <c r="Y66">
        <v>46.6</v>
      </c>
      <c r="Z66">
        <v>14.4</v>
      </c>
      <c r="AA66">
        <v>21.6</v>
      </c>
      <c r="AB66">
        <v>33.700000000000003</v>
      </c>
      <c r="AC66">
        <v>9</v>
      </c>
      <c r="AD66">
        <v>76</v>
      </c>
      <c r="AE66">
        <v>13</v>
      </c>
      <c r="AF66">
        <v>0.44</v>
      </c>
      <c r="AG66">
        <v>62.5</v>
      </c>
      <c r="AH66">
        <v>0.88</v>
      </c>
      <c r="AI66">
        <v>18.600000000000001</v>
      </c>
      <c r="AJ66">
        <v>34</v>
      </c>
      <c r="AK66">
        <v>14</v>
      </c>
    </row>
    <row r="67" spans="1:37" x14ac:dyDescent="0.35">
      <c r="A67" t="s">
        <v>214</v>
      </c>
      <c r="B67">
        <v>2</v>
      </c>
      <c r="K67">
        <v>11</v>
      </c>
      <c r="L67">
        <v>41</v>
      </c>
      <c r="M67">
        <v>156</v>
      </c>
      <c r="N67">
        <v>42</v>
      </c>
      <c r="O67">
        <v>8.8000000000000007</v>
      </c>
      <c r="P67">
        <v>3.7</v>
      </c>
      <c r="Q67">
        <v>1.7</v>
      </c>
      <c r="R67">
        <v>3</v>
      </c>
      <c r="S67">
        <v>11</v>
      </c>
      <c r="T67">
        <v>16</v>
      </c>
      <c r="U67">
        <v>2.4</v>
      </c>
      <c r="V67">
        <v>11.2</v>
      </c>
      <c r="W67">
        <v>34.299999999999997</v>
      </c>
      <c r="X67">
        <v>47</v>
      </c>
      <c r="Y67">
        <v>60.1</v>
      </c>
      <c r="Z67">
        <v>12.6</v>
      </c>
      <c r="AA67">
        <v>20.8</v>
      </c>
      <c r="AB67">
        <v>33</v>
      </c>
      <c r="AC67">
        <v>9.1</v>
      </c>
      <c r="AD67">
        <v>53</v>
      </c>
      <c r="AE67">
        <v>12</v>
      </c>
      <c r="AF67">
        <v>0.62</v>
      </c>
      <c r="AG67">
        <v>20.7</v>
      </c>
      <c r="AH67">
        <v>0.65</v>
      </c>
      <c r="AI67">
        <v>8.6999999999999993</v>
      </c>
      <c r="AJ67">
        <v>20</v>
      </c>
      <c r="AK67">
        <v>8</v>
      </c>
    </row>
    <row r="68" spans="1:37" x14ac:dyDescent="0.35">
      <c r="A68" t="s">
        <v>215</v>
      </c>
      <c r="B68">
        <v>2</v>
      </c>
      <c r="K68">
        <v>8</v>
      </c>
      <c r="L68">
        <v>41</v>
      </c>
      <c r="M68">
        <v>160</v>
      </c>
      <c r="N68">
        <v>83</v>
      </c>
      <c r="O68">
        <v>9</v>
      </c>
      <c r="P68">
        <v>3.4</v>
      </c>
      <c r="Q68">
        <v>2.2999999999999998</v>
      </c>
      <c r="R68">
        <v>2.4</v>
      </c>
      <c r="S68">
        <v>9</v>
      </c>
      <c r="T68">
        <v>19</v>
      </c>
      <c r="U68">
        <v>2.1</v>
      </c>
      <c r="V68">
        <v>27.5</v>
      </c>
      <c r="W68">
        <v>39.200000000000003</v>
      </c>
      <c r="X68">
        <v>84</v>
      </c>
      <c r="Y68">
        <v>38.799999999999997</v>
      </c>
      <c r="Z68">
        <v>12.2</v>
      </c>
      <c r="AA68">
        <v>18.2</v>
      </c>
      <c r="AB68">
        <v>32.700000000000003</v>
      </c>
      <c r="AC68">
        <v>8.5</v>
      </c>
      <c r="AD68">
        <v>77</v>
      </c>
      <c r="AE68">
        <v>10.3</v>
      </c>
      <c r="AF68">
        <v>0.43</v>
      </c>
      <c r="AG68">
        <v>31.7</v>
      </c>
      <c r="AH68">
        <v>0.73</v>
      </c>
      <c r="AI68">
        <v>11.8</v>
      </c>
      <c r="AJ68">
        <v>25</v>
      </c>
      <c r="AK68">
        <v>10</v>
      </c>
    </row>
    <row r="69" spans="1:37" x14ac:dyDescent="0.35">
      <c r="A69" t="s">
        <v>216</v>
      </c>
      <c r="B69">
        <v>2</v>
      </c>
      <c r="K69">
        <v>11</v>
      </c>
      <c r="L69">
        <v>46</v>
      </c>
      <c r="M69">
        <v>160</v>
      </c>
      <c r="N69">
        <v>51</v>
      </c>
      <c r="O69">
        <v>9.3000000000000007</v>
      </c>
      <c r="P69">
        <v>3.3</v>
      </c>
      <c r="Q69">
        <v>2</v>
      </c>
      <c r="R69">
        <v>1.7</v>
      </c>
      <c r="S69">
        <v>6</v>
      </c>
      <c r="T69">
        <v>13</v>
      </c>
      <c r="U69">
        <v>3.3</v>
      </c>
      <c r="V69">
        <v>19.3</v>
      </c>
      <c r="W69">
        <v>29.3</v>
      </c>
      <c r="X69">
        <v>31</v>
      </c>
      <c r="Y69">
        <v>20.399999999999999</v>
      </c>
      <c r="Z69">
        <v>12.3</v>
      </c>
      <c r="AA69">
        <v>18</v>
      </c>
      <c r="AB69">
        <v>12.6</v>
      </c>
      <c r="AC69">
        <v>7.7</v>
      </c>
      <c r="AD69">
        <v>30</v>
      </c>
      <c r="AE69">
        <v>9.8000000000000007</v>
      </c>
      <c r="AF69">
        <v>0.34</v>
      </c>
      <c r="AG69">
        <v>20.5</v>
      </c>
      <c r="AH69">
        <v>1</v>
      </c>
      <c r="AI69">
        <v>7.9</v>
      </c>
      <c r="AJ69">
        <v>43</v>
      </c>
      <c r="AK69">
        <v>9</v>
      </c>
    </row>
    <row r="70" spans="1:37" x14ac:dyDescent="0.35">
      <c r="A70" t="s">
        <v>217</v>
      </c>
      <c r="B70">
        <v>2</v>
      </c>
      <c r="K70">
        <v>12</v>
      </c>
      <c r="L70">
        <v>47</v>
      </c>
      <c r="M70">
        <v>161</v>
      </c>
      <c r="N70">
        <v>109</v>
      </c>
      <c r="O70">
        <v>9.6999999999999993</v>
      </c>
      <c r="P70">
        <v>5.0999999999999996</v>
      </c>
      <c r="Q70">
        <v>3.2</v>
      </c>
      <c r="R70">
        <v>2.8</v>
      </c>
      <c r="S70">
        <v>7</v>
      </c>
      <c r="T70">
        <v>22</v>
      </c>
      <c r="U70">
        <v>2.7</v>
      </c>
      <c r="V70">
        <v>33</v>
      </c>
      <c r="W70">
        <v>39.299999999999997</v>
      </c>
      <c r="X70">
        <v>48</v>
      </c>
      <c r="Y70">
        <v>27</v>
      </c>
      <c r="Z70">
        <v>13.6</v>
      </c>
      <c r="AA70">
        <v>17.7</v>
      </c>
      <c r="AB70">
        <v>18.5</v>
      </c>
      <c r="AC70">
        <v>9</v>
      </c>
      <c r="AD70">
        <v>50</v>
      </c>
      <c r="AE70">
        <v>11.1</v>
      </c>
      <c r="AF70">
        <v>0.38</v>
      </c>
      <c r="AG70">
        <v>80.5</v>
      </c>
      <c r="AH70">
        <v>0.51</v>
      </c>
      <c r="AI70">
        <v>7.9</v>
      </c>
      <c r="AJ70">
        <v>29</v>
      </c>
      <c r="AK70">
        <v>8</v>
      </c>
    </row>
    <row r="71" spans="1:37" x14ac:dyDescent="0.35">
      <c r="A71" t="s">
        <v>218</v>
      </c>
      <c r="B71">
        <v>2</v>
      </c>
      <c r="K71">
        <v>10</v>
      </c>
      <c r="L71">
        <v>43</v>
      </c>
      <c r="M71">
        <v>161</v>
      </c>
      <c r="N71">
        <v>62</v>
      </c>
      <c r="O71">
        <v>9.6999999999999993</v>
      </c>
      <c r="P71">
        <v>4.4000000000000004</v>
      </c>
      <c r="Q71">
        <v>1.8</v>
      </c>
      <c r="R71">
        <v>2.9</v>
      </c>
      <c r="S71">
        <v>13</v>
      </c>
      <c r="T71">
        <v>22</v>
      </c>
      <c r="U71">
        <v>2.1</v>
      </c>
      <c r="V71">
        <v>12.5</v>
      </c>
      <c r="W71">
        <v>39.200000000000003</v>
      </c>
      <c r="X71">
        <v>31</v>
      </c>
      <c r="Y71">
        <v>17.399999999999999</v>
      </c>
      <c r="Z71">
        <v>11</v>
      </c>
      <c r="AA71">
        <v>17.600000000000001</v>
      </c>
      <c r="AB71">
        <v>13.1</v>
      </c>
      <c r="AC71">
        <v>8.6</v>
      </c>
      <c r="AD71">
        <v>40</v>
      </c>
      <c r="AE71">
        <v>10.5</v>
      </c>
      <c r="AF71">
        <v>0.3</v>
      </c>
      <c r="AG71">
        <v>29.7</v>
      </c>
      <c r="AH71">
        <v>0.56000000000000005</v>
      </c>
      <c r="AI71">
        <v>4.2</v>
      </c>
      <c r="AJ71">
        <v>26</v>
      </c>
      <c r="AK71">
        <v>11</v>
      </c>
    </row>
    <row r="72" spans="1:37" x14ac:dyDescent="0.35">
      <c r="A72" t="s">
        <v>184</v>
      </c>
      <c r="B72">
        <v>3</v>
      </c>
      <c r="K72">
        <v>9</v>
      </c>
      <c r="L72">
        <v>39</v>
      </c>
      <c r="M72">
        <v>152</v>
      </c>
      <c r="N72">
        <v>82</v>
      </c>
      <c r="O72">
        <v>7.2</v>
      </c>
      <c r="P72">
        <v>2.8</v>
      </c>
      <c r="Q72">
        <v>1.4</v>
      </c>
      <c r="R72">
        <v>1.9</v>
      </c>
      <c r="S72">
        <v>9</v>
      </c>
      <c r="T72">
        <v>13</v>
      </c>
      <c r="U72">
        <v>2.4</v>
      </c>
      <c r="V72">
        <v>12</v>
      </c>
      <c r="W72">
        <v>27.7</v>
      </c>
      <c r="X72">
        <v>36</v>
      </c>
      <c r="Y72">
        <v>31.5</v>
      </c>
      <c r="Z72">
        <v>11.9</v>
      </c>
      <c r="AA72">
        <v>18.899999999999999</v>
      </c>
      <c r="AB72">
        <v>20.399999999999999</v>
      </c>
      <c r="AC72">
        <v>8.1999999999999993</v>
      </c>
      <c r="AD72">
        <v>54</v>
      </c>
      <c r="AE72">
        <v>10.199999999999999</v>
      </c>
      <c r="AF72">
        <v>0.37</v>
      </c>
      <c r="AG72">
        <v>17.2</v>
      </c>
      <c r="AH72">
        <v>0.52</v>
      </c>
      <c r="AI72">
        <v>5.8</v>
      </c>
      <c r="AJ72">
        <v>22</v>
      </c>
      <c r="AK72">
        <v>8</v>
      </c>
    </row>
    <row r="73" spans="1:37" x14ac:dyDescent="0.35">
      <c r="A73" t="s">
        <v>185</v>
      </c>
      <c r="B73">
        <v>3</v>
      </c>
      <c r="K73">
        <v>10</v>
      </c>
      <c r="L73">
        <v>41</v>
      </c>
      <c r="M73">
        <v>160</v>
      </c>
      <c r="N73">
        <v>49</v>
      </c>
      <c r="O73">
        <v>9.6999999999999993</v>
      </c>
      <c r="P73">
        <v>3.6</v>
      </c>
      <c r="Q73">
        <v>3.7</v>
      </c>
      <c r="R73">
        <v>2</v>
      </c>
      <c r="S73">
        <v>4</v>
      </c>
      <c r="T73">
        <v>15</v>
      </c>
      <c r="U73">
        <v>3</v>
      </c>
      <c r="V73">
        <v>34.299999999999997</v>
      </c>
      <c r="W73">
        <v>34</v>
      </c>
      <c r="X73">
        <v>46</v>
      </c>
      <c r="Y73">
        <v>35.299999999999997</v>
      </c>
      <c r="Z73">
        <v>11.9</v>
      </c>
      <c r="AA73">
        <v>19.100000000000001</v>
      </c>
      <c r="AB73">
        <v>15.9</v>
      </c>
      <c r="AC73">
        <v>8.1</v>
      </c>
      <c r="AD73">
        <v>50</v>
      </c>
      <c r="AE73">
        <v>11.6</v>
      </c>
      <c r="AF73">
        <v>0.31</v>
      </c>
      <c r="AG73">
        <v>30.2</v>
      </c>
      <c r="AH73">
        <v>0.56000000000000005</v>
      </c>
      <c r="AI73">
        <v>7.8</v>
      </c>
      <c r="AJ73">
        <v>33</v>
      </c>
      <c r="AK73">
        <v>7</v>
      </c>
    </row>
    <row r="74" spans="1:37" x14ac:dyDescent="0.35">
      <c r="A74" t="s">
        <v>186</v>
      </c>
      <c r="B74">
        <v>3</v>
      </c>
      <c r="K74">
        <v>12</v>
      </c>
      <c r="L74">
        <v>41</v>
      </c>
      <c r="M74">
        <v>151</v>
      </c>
      <c r="N74">
        <v>57</v>
      </c>
      <c r="O74">
        <v>7.9</v>
      </c>
      <c r="P74">
        <v>3.4</v>
      </c>
      <c r="Q74">
        <v>2.4</v>
      </c>
      <c r="R74">
        <v>1.6</v>
      </c>
      <c r="S74">
        <v>6</v>
      </c>
      <c r="T74">
        <v>14</v>
      </c>
      <c r="U74">
        <v>2.6</v>
      </c>
      <c r="V74">
        <v>12.7</v>
      </c>
      <c r="W74">
        <v>28.2</v>
      </c>
      <c r="X74">
        <v>17</v>
      </c>
      <c r="Y74">
        <v>58</v>
      </c>
      <c r="Z74">
        <v>10.1</v>
      </c>
      <c r="AA74">
        <v>20.8</v>
      </c>
      <c r="AB74">
        <v>7.7</v>
      </c>
      <c r="AC74">
        <v>7.3</v>
      </c>
      <c r="AD74">
        <v>25</v>
      </c>
      <c r="AE74">
        <v>10.199999999999999</v>
      </c>
      <c r="AF74">
        <v>0.27</v>
      </c>
      <c r="AG74">
        <v>10.8</v>
      </c>
      <c r="AH74">
        <v>0.7</v>
      </c>
      <c r="AI74">
        <v>3.5</v>
      </c>
      <c r="AJ74">
        <v>33</v>
      </c>
      <c r="AK74">
        <v>9</v>
      </c>
    </row>
    <row r="75" spans="1:37" x14ac:dyDescent="0.35">
      <c r="A75" t="s">
        <v>187</v>
      </c>
      <c r="B75">
        <v>3</v>
      </c>
      <c r="K75">
        <v>12</v>
      </c>
      <c r="L75">
        <v>50</v>
      </c>
      <c r="M75">
        <v>161</v>
      </c>
      <c r="N75">
        <v>67</v>
      </c>
      <c r="O75">
        <v>9.1999999999999993</v>
      </c>
      <c r="P75">
        <v>4</v>
      </c>
      <c r="Q75">
        <v>2.8</v>
      </c>
      <c r="R75">
        <v>2.5</v>
      </c>
      <c r="S75">
        <v>8</v>
      </c>
      <c r="T75">
        <v>22</v>
      </c>
      <c r="U75">
        <v>2.2000000000000002</v>
      </c>
      <c r="V75">
        <v>19.8</v>
      </c>
      <c r="W75">
        <v>38.299999999999997</v>
      </c>
      <c r="X75">
        <v>46</v>
      </c>
      <c r="Y75">
        <v>55.5</v>
      </c>
      <c r="Z75">
        <v>13.4</v>
      </c>
      <c r="AA75">
        <v>19.899999999999999</v>
      </c>
      <c r="AB75">
        <v>21.1</v>
      </c>
      <c r="AC75">
        <v>8.1999999999999993</v>
      </c>
      <c r="AD75">
        <v>52</v>
      </c>
      <c r="AE75">
        <v>10.8</v>
      </c>
      <c r="AF75">
        <v>0.41</v>
      </c>
      <c r="AG75">
        <v>35.799999999999997</v>
      </c>
      <c r="AH75">
        <v>1.01</v>
      </c>
      <c r="AI75">
        <v>8.8000000000000007</v>
      </c>
      <c r="AJ75">
        <v>28</v>
      </c>
      <c r="AK75">
        <v>7</v>
      </c>
    </row>
    <row r="76" spans="1:37" x14ac:dyDescent="0.35">
      <c r="A76" t="s">
        <v>188</v>
      </c>
      <c r="B76">
        <v>3</v>
      </c>
      <c r="K76">
        <v>10</v>
      </c>
      <c r="L76">
        <v>39</v>
      </c>
      <c r="M76">
        <v>156</v>
      </c>
      <c r="N76">
        <v>54</v>
      </c>
      <c r="O76">
        <v>8.8000000000000007</v>
      </c>
      <c r="P76">
        <v>3</v>
      </c>
      <c r="Q76">
        <v>1.8</v>
      </c>
      <c r="R76">
        <v>2.1</v>
      </c>
      <c r="S76">
        <v>7</v>
      </c>
      <c r="T76">
        <v>13</v>
      </c>
      <c r="U76">
        <v>2.4</v>
      </c>
      <c r="V76">
        <v>11.7</v>
      </c>
      <c r="W76">
        <v>29.8</v>
      </c>
      <c r="X76">
        <v>34</v>
      </c>
      <c r="Y76">
        <v>42.5</v>
      </c>
      <c r="Z76">
        <v>11.8</v>
      </c>
      <c r="AA76">
        <v>20.6</v>
      </c>
      <c r="AB76">
        <v>20.6</v>
      </c>
      <c r="AC76">
        <v>8.4</v>
      </c>
      <c r="AD76">
        <v>43</v>
      </c>
      <c r="AE76">
        <v>11.2</v>
      </c>
      <c r="AF76">
        <v>0.48</v>
      </c>
      <c r="AG76">
        <v>17.2</v>
      </c>
      <c r="AH76">
        <v>0.56000000000000005</v>
      </c>
      <c r="AI76">
        <v>6.3</v>
      </c>
      <c r="AJ76">
        <v>23</v>
      </c>
      <c r="AK76">
        <v>12</v>
      </c>
    </row>
    <row r="77" spans="1:37" x14ac:dyDescent="0.35">
      <c r="A77" t="s">
        <v>189</v>
      </c>
      <c r="B77">
        <v>3</v>
      </c>
      <c r="K77">
        <v>10</v>
      </c>
      <c r="L77">
        <v>45</v>
      </c>
      <c r="M77">
        <v>153</v>
      </c>
      <c r="N77">
        <v>62</v>
      </c>
      <c r="O77">
        <v>8.8000000000000007</v>
      </c>
      <c r="P77">
        <v>3.5</v>
      </c>
      <c r="Q77">
        <v>1.4</v>
      </c>
      <c r="R77">
        <v>2.5</v>
      </c>
      <c r="S77">
        <v>11</v>
      </c>
      <c r="T77">
        <v>15</v>
      </c>
      <c r="U77">
        <v>1.5</v>
      </c>
      <c r="V77">
        <v>13.5</v>
      </c>
      <c r="W77">
        <v>29.7</v>
      </c>
      <c r="X77">
        <v>54</v>
      </c>
      <c r="Y77">
        <v>47.8</v>
      </c>
      <c r="Z77">
        <v>12.7</v>
      </c>
      <c r="AA77">
        <v>20.5</v>
      </c>
      <c r="AB77">
        <v>25.5</v>
      </c>
      <c r="AC77">
        <v>8.4</v>
      </c>
      <c r="AD77">
        <v>60</v>
      </c>
      <c r="AE77">
        <v>10.9</v>
      </c>
      <c r="AF77">
        <v>0.42</v>
      </c>
      <c r="AG77">
        <v>24.2</v>
      </c>
      <c r="AH77">
        <v>0.95</v>
      </c>
      <c r="AI77">
        <v>13.8</v>
      </c>
      <c r="AJ77">
        <v>35</v>
      </c>
      <c r="AK77">
        <v>9</v>
      </c>
    </row>
    <row r="78" spans="1:37" x14ac:dyDescent="0.35">
      <c r="A78" t="s">
        <v>190</v>
      </c>
      <c r="B78">
        <v>3</v>
      </c>
      <c r="K78">
        <v>11</v>
      </c>
      <c r="L78">
        <v>46</v>
      </c>
      <c r="M78">
        <v>152</v>
      </c>
      <c r="N78">
        <v>68</v>
      </c>
      <c r="O78">
        <v>8.5</v>
      </c>
      <c r="P78">
        <v>3.4</v>
      </c>
      <c r="Q78">
        <v>1.7</v>
      </c>
      <c r="R78">
        <v>1.7</v>
      </c>
      <c r="S78">
        <v>10</v>
      </c>
      <c r="T78">
        <v>16</v>
      </c>
      <c r="U78">
        <v>2.5</v>
      </c>
      <c r="V78">
        <v>13.5</v>
      </c>
      <c r="W78">
        <v>32.299999999999997</v>
      </c>
      <c r="X78">
        <v>50</v>
      </c>
      <c r="Y78">
        <v>27.1</v>
      </c>
      <c r="Z78">
        <v>11.1</v>
      </c>
      <c r="AA78">
        <v>17.7</v>
      </c>
      <c r="AB78">
        <v>22.4</v>
      </c>
      <c r="AC78">
        <v>7.3</v>
      </c>
      <c r="AD78">
        <v>56</v>
      </c>
      <c r="AE78">
        <v>9.6</v>
      </c>
      <c r="AF78">
        <v>0.31</v>
      </c>
      <c r="AG78">
        <v>23.4</v>
      </c>
      <c r="AH78">
        <v>0.81</v>
      </c>
      <c r="AI78">
        <v>10.5</v>
      </c>
      <c r="AJ78">
        <v>31</v>
      </c>
      <c r="AK78">
        <v>10</v>
      </c>
    </row>
    <row r="79" spans="1:37" x14ac:dyDescent="0.35">
      <c r="A79" t="s">
        <v>191</v>
      </c>
      <c r="B79">
        <v>3</v>
      </c>
      <c r="K79">
        <v>9</v>
      </c>
      <c r="L79">
        <v>47</v>
      </c>
      <c r="M79">
        <v>155</v>
      </c>
      <c r="N79">
        <v>82</v>
      </c>
      <c r="O79">
        <v>9.4</v>
      </c>
      <c r="P79">
        <v>3.6</v>
      </c>
      <c r="Q79">
        <v>1.9</v>
      </c>
      <c r="R79">
        <v>1.9</v>
      </c>
      <c r="S79">
        <v>8</v>
      </c>
      <c r="T79">
        <v>14</v>
      </c>
      <c r="U79">
        <v>2.5</v>
      </c>
      <c r="V79">
        <v>15.7</v>
      </c>
      <c r="W79">
        <v>32.5</v>
      </c>
      <c r="X79">
        <v>20</v>
      </c>
      <c r="Y79">
        <v>26.5</v>
      </c>
      <c r="Z79">
        <v>15.3</v>
      </c>
      <c r="AA79">
        <v>20.8</v>
      </c>
      <c r="AB79">
        <v>12.5</v>
      </c>
      <c r="AC79">
        <v>10</v>
      </c>
      <c r="AD79">
        <v>25</v>
      </c>
      <c r="AE79">
        <v>12</v>
      </c>
      <c r="AF79">
        <v>0.49</v>
      </c>
      <c r="AG79">
        <v>33.5</v>
      </c>
      <c r="AH79">
        <v>0.98</v>
      </c>
      <c r="AI79">
        <v>6.9</v>
      </c>
      <c r="AJ79">
        <v>35</v>
      </c>
      <c r="AK79">
        <v>11</v>
      </c>
    </row>
    <row r="80" spans="1:37" x14ac:dyDescent="0.35">
      <c r="A80" t="s">
        <v>192</v>
      </c>
      <c r="B80">
        <v>3</v>
      </c>
      <c r="K80">
        <v>9</v>
      </c>
      <c r="L80">
        <v>40</v>
      </c>
      <c r="M80">
        <v>151</v>
      </c>
      <c r="N80">
        <v>72</v>
      </c>
      <c r="O80">
        <v>7.8</v>
      </c>
      <c r="P80">
        <v>3.4</v>
      </c>
      <c r="Q80">
        <v>1.4</v>
      </c>
      <c r="R80">
        <v>1.8</v>
      </c>
      <c r="S80">
        <v>10</v>
      </c>
      <c r="T80">
        <v>14</v>
      </c>
      <c r="U80">
        <v>1.5</v>
      </c>
      <c r="V80">
        <v>18.7</v>
      </c>
      <c r="W80">
        <v>24</v>
      </c>
      <c r="X80">
        <v>40</v>
      </c>
      <c r="Y80">
        <v>39.700000000000003</v>
      </c>
      <c r="Z80">
        <v>11.5</v>
      </c>
      <c r="AA80">
        <v>17.899999999999999</v>
      </c>
      <c r="AB80">
        <v>13.3</v>
      </c>
      <c r="AC80">
        <v>8.1999999999999993</v>
      </c>
      <c r="AD80">
        <v>33</v>
      </c>
      <c r="AE80">
        <v>9.8000000000000007</v>
      </c>
      <c r="AF80">
        <v>0.41</v>
      </c>
      <c r="AG80">
        <v>35.5</v>
      </c>
      <c r="AH80">
        <v>0.56000000000000005</v>
      </c>
      <c r="AI80">
        <v>6.5</v>
      </c>
      <c r="AJ80">
        <v>34</v>
      </c>
      <c r="AK80">
        <v>7</v>
      </c>
    </row>
    <row r="81" spans="1:37" x14ac:dyDescent="0.35">
      <c r="A81" t="s">
        <v>193</v>
      </c>
      <c r="B81">
        <v>3</v>
      </c>
      <c r="K81">
        <v>10</v>
      </c>
      <c r="L81">
        <v>43</v>
      </c>
      <c r="M81">
        <v>160</v>
      </c>
      <c r="N81">
        <v>205</v>
      </c>
      <c r="O81">
        <v>7.5</v>
      </c>
      <c r="P81">
        <v>3.6</v>
      </c>
      <c r="Q81">
        <v>2.4</v>
      </c>
      <c r="R81">
        <v>3</v>
      </c>
      <c r="S81">
        <v>8</v>
      </c>
      <c r="T81">
        <v>18</v>
      </c>
      <c r="U81">
        <v>1.7</v>
      </c>
      <c r="V81">
        <v>23</v>
      </c>
      <c r="W81">
        <v>35.799999999999997</v>
      </c>
      <c r="X81">
        <v>106</v>
      </c>
      <c r="Y81">
        <v>33.5</v>
      </c>
      <c r="Z81">
        <v>11</v>
      </c>
      <c r="AA81">
        <v>19.8</v>
      </c>
      <c r="AB81">
        <v>31.9</v>
      </c>
      <c r="AC81">
        <v>8.1999999999999993</v>
      </c>
      <c r="AD81">
        <v>105</v>
      </c>
      <c r="AE81">
        <v>11.2</v>
      </c>
      <c r="AF81">
        <v>0.3</v>
      </c>
      <c r="AG81">
        <v>68.3</v>
      </c>
      <c r="AH81">
        <v>0.52</v>
      </c>
      <c r="AI81">
        <v>12.7</v>
      </c>
      <c r="AJ81">
        <v>30</v>
      </c>
      <c r="AK81">
        <v>14</v>
      </c>
    </row>
    <row r="82" spans="1:37" x14ac:dyDescent="0.35">
      <c r="A82" t="s">
        <v>194</v>
      </c>
      <c r="B82">
        <v>3</v>
      </c>
      <c r="K82">
        <v>8</v>
      </c>
      <c r="L82">
        <v>41</v>
      </c>
      <c r="M82">
        <v>156</v>
      </c>
      <c r="N82">
        <v>50</v>
      </c>
      <c r="O82">
        <v>8</v>
      </c>
      <c r="P82">
        <v>3.2</v>
      </c>
      <c r="Q82">
        <v>2.5</v>
      </c>
      <c r="R82">
        <v>3</v>
      </c>
      <c r="S82">
        <v>7</v>
      </c>
      <c r="T82">
        <v>16</v>
      </c>
      <c r="U82">
        <v>3</v>
      </c>
      <c r="V82">
        <v>22</v>
      </c>
      <c r="W82">
        <v>34.299999999999997</v>
      </c>
      <c r="X82">
        <v>52</v>
      </c>
      <c r="Y82">
        <v>24</v>
      </c>
      <c r="Z82">
        <v>12.8</v>
      </c>
      <c r="AA82">
        <v>17.899999999999999</v>
      </c>
      <c r="AB82">
        <v>25.3</v>
      </c>
      <c r="AC82">
        <v>8.8000000000000007</v>
      </c>
      <c r="AD82">
        <v>55</v>
      </c>
      <c r="AE82">
        <v>11.2</v>
      </c>
      <c r="AF82">
        <v>0.48</v>
      </c>
      <c r="AG82">
        <v>20.100000000000001</v>
      </c>
      <c r="AH82">
        <v>0.77</v>
      </c>
      <c r="AI82">
        <v>10.199999999999999</v>
      </c>
      <c r="AJ82">
        <v>29</v>
      </c>
      <c r="AK82">
        <v>12</v>
      </c>
    </row>
    <row r="83" spans="1:37" x14ac:dyDescent="0.35">
      <c r="A83" t="s">
        <v>195</v>
      </c>
      <c r="B83">
        <v>3</v>
      </c>
      <c r="K83">
        <v>12</v>
      </c>
      <c r="L83">
        <v>49</v>
      </c>
      <c r="M83">
        <v>154</v>
      </c>
      <c r="N83">
        <v>49</v>
      </c>
      <c r="O83">
        <v>7.9</v>
      </c>
      <c r="P83">
        <v>2.8</v>
      </c>
      <c r="Q83">
        <v>1.8</v>
      </c>
      <c r="R83">
        <v>1.7</v>
      </c>
      <c r="S83">
        <v>8</v>
      </c>
      <c r="T83">
        <v>14</v>
      </c>
      <c r="U83">
        <v>1.9</v>
      </c>
      <c r="V83">
        <v>11.8</v>
      </c>
      <c r="W83">
        <v>28</v>
      </c>
      <c r="X83">
        <v>33</v>
      </c>
      <c r="Y83">
        <v>19.5</v>
      </c>
      <c r="Z83">
        <v>12</v>
      </c>
      <c r="AA83">
        <v>19.2</v>
      </c>
      <c r="AB83">
        <v>13.7</v>
      </c>
      <c r="AC83">
        <v>8.5</v>
      </c>
      <c r="AD83">
        <v>38</v>
      </c>
      <c r="AE83">
        <v>10.199999999999999</v>
      </c>
      <c r="AF83">
        <v>0.37</v>
      </c>
      <c r="AG83">
        <v>14.6</v>
      </c>
      <c r="AH83">
        <v>0.67</v>
      </c>
      <c r="AI83">
        <v>6.1</v>
      </c>
      <c r="AJ83">
        <v>30</v>
      </c>
      <c r="AK83">
        <v>6</v>
      </c>
    </row>
    <row r="84" spans="1:37" x14ac:dyDescent="0.35">
      <c r="A84" t="s">
        <v>196</v>
      </c>
      <c r="B84">
        <v>3</v>
      </c>
      <c r="K84">
        <v>10</v>
      </c>
      <c r="L84">
        <v>39</v>
      </c>
      <c r="M84">
        <v>148</v>
      </c>
      <c r="N84">
        <v>35</v>
      </c>
      <c r="O84">
        <v>8.1</v>
      </c>
      <c r="P84">
        <v>2.8</v>
      </c>
      <c r="Q84">
        <v>1.4</v>
      </c>
      <c r="R84">
        <v>1.7</v>
      </c>
      <c r="S84">
        <v>10</v>
      </c>
      <c r="T84">
        <v>14</v>
      </c>
      <c r="U84">
        <v>2.1</v>
      </c>
      <c r="V84">
        <v>10.8</v>
      </c>
      <c r="W84">
        <v>28.5</v>
      </c>
      <c r="X84">
        <v>28</v>
      </c>
      <c r="Y84">
        <v>18.7</v>
      </c>
      <c r="Z84">
        <v>11.4</v>
      </c>
      <c r="AA84">
        <v>21</v>
      </c>
      <c r="AB84">
        <v>20.9</v>
      </c>
      <c r="AC84">
        <v>8.6</v>
      </c>
      <c r="AD84">
        <v>40</v>
      </c>
      <c r="AE84">
        <v>10.8</v>
      </c>
      <c r="AF84">
        <v>0.53</v>
      </c>
      <c r="AG84">
        <v>9.9</v>
      </c>
      <c r="AH84">
        <v>0.72</v>
      </c>
      <c r="AI84">
        <v>5.0999999999999996</v>
      </c>
      <c r="AJ84">
        <v>20</v>
      </c>
      <c r="AK84">
        <v>7</v>
      </c>
    </row>
    <row r="85" spans="1:37" x14ac:dyDescent="0.35">
      <c r="A85" t="s">
        <v>197</v>
      </c>
      <c r="B85">
        <v>3</v>
      </c>
      <c r="K85">
        <v>10</v>
      </c>
      <c r="L85">
        <v>42</v>
      </c>
      <c r="M85">
        <v>153</v>
      </c>
      <c r="N85">
        <v>54</v>
      </c>
      <c r="O85">
        <v>8.3000000000000007</v>
      </c>
      <c r="P85">
        <v>3.3</v>
      </c>
      <c r="Q85">
        <v>2</v>
      </c>
      <c r="R85">
        <v>2.1</v>
      </c>
      <c r="S85">
        <v>7</v>
      </c>
      <c r="T85">
        <v>14</v>
      </c>
      <c r="U85">
        <v>3</v>
      </c>
      <c r="V85">
        <v>14.2</v>
      </c>
      <c r="W85">
        <v>30.7</v>
      </c>
      <c r="X85">
        <v>22</v>
      </c>
      <c r="Y85">
        <v>45.1</v>
      </c>
      <c r="Z85">
        <v>12.4</v>
      </c>
      <c r="AA85">
        <v>20.3</v>
      </c>
      <c r="AB85">
        <v>9.9</v>
      </c>
      <c r="AC85">
        <v>8.6</v>
      </c>
      <c r="AD85">
        <v>30</v>
      </c>
      <c r="AE85">
        <v>10.5</v>
      </c>
      <c r="AF85">
        <v>0.38</v>
      </c>
      <c r="AG85">
        <v>20.2</v>
      </c>
      <c r="AH85">
        <v>0.7</v>
      </c>
      <c r="AI85">
        <v>6.8</v>
      </c>
      <c r="AJ85">
        <v>37</v>
      </c>
      <c r="AK85">
        <v>8</v>
      </c>
    </row>
    <row r="86" spans="1:37" x14ac:dyDescent="0.35">
      <c r="A86" t="s">
        <v>198</v>
      </c>
      <c r="B86">
        <v>3</v>
      </c>
      <c r="K86">
        <v>10</v>
      </c>
      <c r="L86">
        <v>47</v>
      </c>
      <c r="M86">
        <v>152</v>
      </c>
      <c r="N86">
        <v>47</v>
      </c>
      <c r="O86">
        <v>8.9</v>
      </c>
      <c r="P86">
        <v>4</v>
      </c>
      <c r="Q86">
        <v>1.4</v>
      </c>
      <c r="R86">
        <v>1.9</v>
      </c>
      <c r="S86">
        <v>10</v>
      </c>
      <c r="T86">
        <v>15</v>
      </c>
      <c r="U86">
        <v>1.8</v>
      </c>
      <c r="V86">
        <v>10.7</v>
      </c>
      <c r="W86">
        <v>32</v>
      </c>
      <c r="X86">
        <v>10</v>
      </c>
      <c r="Y86">
        <v>35.9</v>
      </c>
      <c r="Z86">
        <v>9.6999999999999993</v>
      </c>
      <c r="AA86">
        <v>16.399999999999999</v>
      </c>
      <c r="AB86">
        <v>2.8</v>
      </c>
      <c r="AC86">
        <v>6.9</v>
      </c>
      <c r="AD86">
        <v>15</v>
      </c>
      <c r="AE86">
        <v>9</v>
      </c>
      <c r="AF86">
        <v>0.18</v>
      </c>
      <c r="AG86">
        <v>13.2</v>
      </c>
      <c r="AH86">
        <v>0.84</v>
      </c>
      <c r="AI86">
        <v>1.7</v>
      </c>
      <c r="AJ86">
        <v>40</v>
      </c>
      <c r="AK86">
        <v>6</v>
      </c>
    </row>
    <row r="87" spans="1:37" x14ac:dyDescent="0.35">
      <c r="A87" t="s">
        <v>199</v>
      </c>
      <c r="B87">
        <v>3</v>
      </c>
      <c r="K87">
        <v>11</v>
      </c>
      <c r="L87">
        <v>45</v>
      </c>
      <c r="M87">
        <v>151</v>
      </c>
      <c r="N87">
        <v>84</v>
      </c>
      <c r="O87">
        <v>8.3000000000000007</v>
      </c>
      <c r="P87">
        <v>3.3</v>
      </c>
      <c r="Q87">
        <v>1.8</v>
      </c>
      <c r="R87">
        <v>2.2999999999999998</v>
      </c>
      <c r="S87">
        <v>8</v>
      </c>
      <c r="T87">
        <v>15</v>
      </c>
      <c r="U87">
        <v>2.1</v>
      </c>
      <c r="V87">
        <v>12</v>
      </c>
      <c r="W87">
        <v>31</v>
      </c>
      <c r="X87">
        <v>11</v>
      </c>
      <c r="Y87">
        <v>20.2</v>
      </c>
      <c r="Z87">
        <v>12</v>
      </c>
      <c r="AA87">
        <v>19.3</v>
      </c>
      <c r="AB87">
        <v>3.5</v>
      </c>
      <c r="AC87">
        <v>7</v>
      </c>
      <c r="AD87">
        <v>12</v>
      </c>
      <c r="AE87">
        <v>9.4</v>
      </c>
      <c r="AF87">
        <v>0.3</v>
      </c>
      <c r="AG87">
        <v>28.9</v>
      </c>
      <c r="AH87">
        <v>0.87</v>
      </c>
      <c r="AI87">
        <v>3.1</v>
      </c>
      <c r="AJ87">
        <v>49</v>
      </c>
      <c r="AK87">
        <v>8</v>
      </c>
    </row>
    <row r="88" spans="1:37" x14ac:dyDescent="0.35">
      <c r="A88" t="s">
        <v>200</v>
      </c>
      <c r="B88">
        <v>3</v>
      </c>
      <c r="K88">
        <v>10</v>
      </c>
      <c r="L88">
        <v>43</v>
      </c>
      <c r="M88">
        <v>156</v>
      </c>
      <c r="N88">
        <v>52</v>
      </c>
      <c r="O88">
        <v>8.4</v>
      </c>
      <c r="P88">
        <v>3.9</v>
      </c>
      <c r="Q88">
        <v>2</v>
      </c>
      <c r="R88">
        <v>1.4</v>
      </c>
      <c r="S88">
        <v>8</v>
      </c>
      <c r="T88">
        <v>16</v>
      </c>
      <c r="U88">
        <v>3.2</v>
      </c>
      <c r="V88">
        <v>12.3</v>
      </c>
      <c r="W88">
        <v>31.7</v>
      </c>
      <c r="X88">
        <v>20</v>
      </c>
      <c r="Y88">
        <v>26.2</v>
      </c>
      <c r="Z88">
        <v>14</v>
      </c>
      <c r="AA88">
        <v>20.9</v>
      </c>
      <c r="AB88">
        <v>10.6</v>
      </c>
      <c r="AC88">
        <v>8.9</v>
      </c>
      <c r="AD88">
        <v>26</v>
      </c>
      <c r="AE88">
        <v>11.8</v>
      </c>
      <c r="AF88">
        <v>0.4</v>
      </c>
      <c r="AG88">
        <v>22.6</v>
      </c>
      <c r="AH88">
        <v>1.35</v>
      </c>
      <c r="AI88">
        <v>6.5</v>
      </c>
      <c r="AJ88">
        <v>37</v>
      </c>
      <c r="AK88">
        <v>7</v>
      </c>
    </row>
    <row r="89" spans="1:37" x14ac:dyDescent="0.35">
      <c r="A89" t="s">
        <v>201</v>
      </c>
      <c r="B89">
        <v>3</v>
      </c>
      <c r="K89">
        <v>13</v>
      </c>
      <c r="L89">
        <v>41</v>
      </c>
      <c r="M89">
        <v>139</v>
      </c>
      <c r="N89">
        <v>39</v>
      </c>
      <c r="O89">
        <v>8.9</v>
      </c>
      <c r="P89">
        <v>3.2</v>
      </c>
      <c r="Q89">
        <v>1.1000000000000001</v>
      </c>
      <c r="R89">
        <v>1.9</v>
      </c>
      <c r="S89">
        <v>14</v>
      </c>
      <c r="T89">
        <v>14</v>
      </c>
      <c r="U89">
        <v>2.2000000000000002</v>
      </c>
      <c r="V89">
        <v>8.6999999999999993</v>
      </c>
      <c r="W89">
        <v>31.5</v>
      </c>
      <c r="X89">
        <v>30</v>
      </c>
      <c r="Y89">
        <v>11.5</v>
      </c>
      <c r="Z89">
        <v>11.2</v>
      </c>
      <c r="AA89">
        <v>17.899999999999999</v>
      </c>
      <c r="AB89">
        <v>16.100000000000001</v>
      </c>
      <c r="AC89">
        <v>8</v>
      </c>
      <c r="AD89">
        <v>39</v>
      </c>
      <c r="AE89">
        <v>10</v>
      </c>
      <c r="AF89">
        <v>0.41</v>
      </c>
      <c r="AG89">
        <v>11.2</v>
      </c>
      <c r="AH89">
        <v>0.61</v>
      </c>
      <c r="AI89">
        <v>5.3</v>
      </c>
      <c r="AJ89">
        <v>25</v>
      </c>
      <c r="AK89">
        <v>10</v>
      </c>
    </row>
    <row r="90" spans="1:37" x14ac:dyDescent="0.35">
      <c r="A90" t="s">
        <v>202</v>
      </c>
      <c r="B90">
        <v>3</v>
      </c>
      <c r="K90">
        <v>8</v>
      </c>
      <c r="L90">
        <v>38</v>
      </c>
      <c r="M90">
        <v>160</v>
      </c>
      <c r="N90">
        <v>104</v>
      </c>
      <c r="O90">
        <v>8.3000000000000007</v>
      </c>
      <c r="P90">
        <v>4.4000000000000004</v>
      </c>
      <c r="Q90">
        <v>2.6</v>
      </c>
      <c r="R90">
        <v>3</v>
      </c>
      <c r="S90">
        <v>7</v>
      </c>
      <c r="T90">
        <v>18</v>
      </c>
      <c r="U90">
        <v>2.2000000000000002</v>
      </c>
      <c r="V90">
        <v>27.3</v>
      </c>
      <c r="W90">
        <v>34.799999999999997</v>
      </c>
      <c r="X90">
        <v>86</v>
      </c>
      <c r="Y90">
        <v>16.8</v>
      </c>
      <c r="Z90">
        <v>12.6</v>
      </c>
      <c r="AA90">
        <v>20.100000000000001</v>
      </c>
      <c r="AB90">
        <v>45.8</v>
      </c>
      <c r="AC90">
        <v>9.4</v>
      </c>
      <c r="AD90">
        <v>102</v>
      </c>
      <c r="AE90">
        <v>12.3</v>
      </c>
      <c r="AF90">
        <v>0.46</v>
      </c>
      <c r="AG90">
        <v>42.7</v>
      </c>
      <c r="AH90">
        <v>0.6</v>
      </c>
      <c r="AI90">
        <v>13.2</v>
      </c>
      <c r="AJ90">
        <v>22</v>
      </c>
      <c r="AK90">
        <v>9</v>
      </c>
    </row>
    <row r="91" spans="1:37" x14ac:dyDescent="0.35">
      <c r="A91" t="s">
        <v>203</v>
      </c>
      <c r="B91">
        <v>3</v>
      </c>
      <c r="K91">
        <v>11</v>
      </c>
      <c r="L91">
        <v>43</v>
      </c>
      <c r="M91">
        <v>143</v>
      </c>
      <c r="N91">
        <v>150</v>
      </c>
      <c r="O91">
        <v>9</v>
      </c>
      <c r="P91">
        <v>4</v>
      </c>
      <c r="Q91">
        <v>2.6</v>
      </c>
      <c r="R91">
        <v>4.0999999999999996</v>
      </c>
      <c r="S91">
        <v>8</v>
      </c>
      <c r="T91">
        <v>21</v>
      </c>
      <c r="U91">
        <v>2.2000000000000002</v>
      </c>
      <c r="V91">
        <v>23</v>
      </c>
      <c r="W91">
        <v>38.299999999999997</v>
      </c>
      <c r="X91">
        <v>35</v>
      </c>
      <c r="Y91">
        <v>4.2</v>
      </c>
      <c r="Z91">
        <v>11.4</v>
      </c>
      <c r="AA91">
        <v>19.7</v>
      </c>
      <c r="AB91">
        <v>13.3</v>
      </c>
      <c r="AC91">
        <v>7.7</v>
      </c>
      <c r="AD91">
        <v>50</v>
      </c>
      <c r="AE91">
        <v>9.9</v>
      </c>
      <c r="AF91">
        <v>0.25</v>
      </c>
      <c r="AG91">
        <v>54.1</v>
      </c>
      <c r="AH91">
        <v>0.68</v>
      </c>
      <c r="AI91">
        <v>9.1</v>
      </c>
      <c r="AJ91">
        <v>42</v>
      </c>
      <c r="AK91">
        <v>14</v>
      </c>
    </row>
    <row r="92" spans="1:37" x14ac:dyDescent="0.35">
      <c r="A92" t="s">
        <v>204</v>
      </c>
      <c r="B92">
        <v>3</v>
      </c>
      <c r="K92">
        <v>8</v>
      </c>
      <c r="L92">
        <v>45</v>
      </c>
      <c r="M92">
        <v>160</v>
      </c>
      <c r="N92">
        <v>198</v>
      </c>
      <c r="O92">
        <v>8</v>
      </c>
      <c r="P92">
        <v>3.4</v>
      </c>
      <c r="Q92">
        <v>2.8</v>
      </c>
      <c r="R92">
        <v>3.4</v>
      </c>
      <c r="S92">
        <v>8</v>
      </c>
      <c r="T92">
        <v>22</v>
      </c>
      <c r="U92">
        <v>1.5</v>
      </c>
      <c r="V92">
        <v>25.2</v>
      </c>
      <c r="W92">
        <v>39.5</v>
      </c>
      <c r="X92">
        <v>106</v>
      </c>
      <c r="Y92">
        <v>6.6</v>
      </c>
      <c r="Z92">
        <v>11.6</v>
      </c>
      <c r="AA92">
        <v>18.399999999999999</v>
      </c>
      <c r="AB92">
        <v>28.9</v>
      </c>
      <c r="AC92">
        <v>8.4</v>
      </c>
      <c r="AD92">
        <v>94</v>
      </c>
      <c r="AE92">
        <v>11.1</v>
      </c>
      <c r="AF92">
        <v>0.33</v>
      </c>
      <c r="AG92">
        <v>76.3</v>
      </c>
      <c r="AH92">
        <v>0.63</v>
      </c>
      <c r="AI92">
        <v>15.3</v>
      </c>
      <c r="AJ92">
        <v>34</v>
      </c>
      <c r="AK92">
        <v>11</v>
      </c>
    </row>
    <row r="93" spans="1:37" x14ac:dyDescent="0.35">
      <c r="A93" t="s">
        <v>205</v>
      </c>
      <c r="B93">
        <v>3</v>
      </c>
      <c r="K93">
        <v>10</v>
      </c>
      <c r="L93">
        <v>47</v>
      </c>
      <c r="M93">
        <v>160</v>
      </c>
      <c r="N93">
        <v>81</v>
      </c>
      <c r="O93">
        <v>8</v>
      </c>
      <c r="P93">
        <v>3.8</v>
      </c>
      <c r="Q93">
        <v>3</v>
      </c>
      <c r="R93">
        <v>2</v>
      </c>
      <c r="S93">
        <v>5</v>
      </c>
      <c r="T93">
        <v>16</v>
      </c>
      <c r="U93">
        <v>2.2000000000000002</v>
      </c>
      <c r="V93">
        <v>23</v>
      </c>
      <c r="W93">
        <v>32.299999999999997</v>
      </c>
      <c r="X93">
        <v>121</v>
      </c>
      <c r="Y93">
        <v>17.100000000000001</v>
      </c>
      <c r="Z93">
        <v>10.5</v>
      </c>
      <c r="AA93">
        <v>15.9</v>
      </c>
      <c r="AB93">
        <v>35.5</v>
      </c>
      <c r="AC93">
        <v>7.8</v>
      </c>
      <c r="AD93">
        <v>133</v>
      </c>
      <c r="AE93">
        <v>9.5</v>
      </c>
      <c r="AF93">
        <v>0.27</v>
      </c>
      <c r="AG93">
        <v>33.700000000000003</v>
      </c>
      <c r="AH93">
        <v>0.54</v>
      </c>
      <c r="AI93">
        <v>11.7</v>
      </c>
      <c r="AJ93">
        <v>24</v>
      </c>
      <c r="AK93">
        <v>12</v>
      </c>
    </row>
    <row r="94" spans="1:37" x14ac:dyDescent="0.35">
      <c r="A94" t="s">
        <v>206</v>
      </c>
      <c r="B94">
        <v>3</v>
      </c>
      <c r="K94">
        <v>9</v>
      </c>
      <c r="L94">
        <v>39</v>
      </c>
      <c r="M94">
        <v>143</v>
      </c>
      <c r="N94">
        <v>55</v>
      </c>
      <c r="O94">
        <v>8.6</v>
      </c>
      <c r="P94">
        <v>4.0999999999999996</v>
      </c>
      <c r="Q94">
        <v>2.4</v>
      </c>
      <c r="R94">
        <v>1.8</v>
      </c>
      <c r="S94">
        <v>7</v>
      </c>
      <c r="T94">
        <v>16</v>
      </c>
      <c r="U94">
        <v>2.2000000000000002</v>
      </c>
      <c r="V94">
        <v>18.8</v>
      </c>
      <c r="W94">
        <v>29.7</v>
      </c>
      <c r="X94">
        <v>48</v>
      </c>
      <c r="Y94">
        <v>21.3</v>
      </c>
      <c r="Z94">
        <v>10.5</v>
      </c>
      <c r="AA94">
        <v>15.4</v>
      </c>
      <c r="AB94">
        <v>20.7</v>
      </c>
      <c r="AC94">
        <v>7.6</v>
      </c>
      <c r="AD94">
        <v>48</v>
      </c>
      <c r="AE94">
        <v>9.6</v>
      </c>
      <c r="AF94">
        <v>0.34</v>
      </c>
      <c r="AG94">
        <v>21.5</v>
      </c>
      <c r="AH94">
        <v>0.56000000000000005</v>
      </c>
      <c r="AI94">
        <v>6.4</v>
      </c>
      <c r="AJ94">
        <v>31</v>
      </c>
      <c r="AK94">
        <v>9</v>
      </c>
    </row>
    <row r="95" spans="1:37" x14ac:dyDescent="0.35">
      <c r="A95" t="s">
        <v>207</v>
      </c>
      <c r="B95">
        <v>3</v>
      </c>
      <c r="K95">
        <v>10</v>
      </c>
      <c r="L95">
        <v>39</v>
      </c>
      <c r="M95">
        <v>160</v>
      </c>
      <c r="N95">
        <v>105</v>
      </c>
      <c r="O95">
        <v>9</v>
      </c>
      <c r="P95">
        <v>3.8</v>
      </c>
      <c r="Q95">
        <v>2</v>
      </c>
      <c r="R95">
        <v>2.6</v>
      </c>
      <c r="S95">
        <v>9</v>
      </c>
      <c r="T95">
        <v>17</v>
      </c>
      <c r="U95">
        <v>2.4</v>
      </c>
      <c r="V95">
        <v>16.3</v>
      </c>
      <c r="W95">
        <v>36</v>
      </c>
      <c r="X95">
        <v>105</v>
      </c>
      <c r="Y95">
        <v>59.6</v>
      </c>
      <c r="Z95">
        <v>13.1</v>
      </c>
      <c r="AA95">
        <v>18.600000000000001</v>
      </c>
      <c r="AB95">
        <v>49.1</v>
      </c>
      <c r="AC95">
        <v>9.1999999999999993</v>
      </c>
      <c r="AD95">
        <v>107</v>
      </c>
      <c r="AE95">
        <v>11</v>
      </c>
      <c r="AF95">
        <v>0.46</v>
      </c>
      <c r="AG95">
        <v>53.2</v>
      </c>
      <c r="AH95">
        <v>0.56000000000000005</v>
      </c>
      <c r="AI95">
        <v>17.5</v>
      </c>
      <c r="AJ95">
        <v>25</v>
      </c>
      <c r="AK95">
        <v>14</v>
      </c>
    </row>
    <row r="96" spans="1:37" x14ac:dyDescent="0.35">
      <c r="A96" t="s">
        <v>208</v>
      </c>
      <c r="B96">
        <v>3</v>
      </c>
      <c r="K96">
        <v>10</v>
      </c>
      <c r="L96">
        <v>39</v>
      </c>
      <c r="M96">
        <v>161</v>
      </c>
      <c r="N96">
        <v>79</v>
      </c>
      <c r="O96">
        <v>8.3000000000000007</v>
      </c>
      <c r="P96">
        <v>3.6</v>
      </c>
      <c r="Q96">
        <v>2.8</v>
      </c>
      <c r="R96">
        <v>2.4</v>
      </c>
      <c r="S96">
        <v>7</v>
      </c>
      <c r="T96">
        <v>20</v>
      </c>
      <c r="U96">
        <v>2.2000000000000002</v>
      </c>
      <c r="V96">
        <v>22.3</v>
      </c>
      <c r="W96">
        <v>36</v>
      </c>
      <c r="X96">
        <v>87</v>
      </c>
      <c r="Y96">
        <v>23</v>
      </c>
      <c r="Z96">
        <v>12.5</v>
      </c>
      <c r="AA96">
        <v>17.5</v>
      </c>
      <c r="AB96">
        <v>32.4</v>
      </c>
      <c r="AC96">
        <v>8.4</v>
      </c>
      <c r="AD96">
        <v>96</v>
      </c>
      <c r="AE96">
        <v>9.9</v>
      </c>
      <c r="AF96">
        <v>0.34</v>
      </c>
      <c r="AG96">
        <v>35.700000000000003</v>
      </c>
      <c r="AH96">
        <v>0.7</v>
      </c>
      <c r="AI96">
        <v>11.8</v>
      </c>
      <c r="AJ96">
        <v>25</v>
      </c>
      <c r="AK96">
        <v>10</v>
      </c>
    </row>
    <row r="97" spans="1:37" x14ac:dyDescent="0.35">
      <c r="A97" t="s">
        <v>209</v>
      </c>
      <c r="B97">
        <v>3</v>
      </c>
      <c r="K97">
        <v>10</v>
      </c>
      <c r="L97">
        <v>39</v>
      </c>
      <c r="M97">
        <v>68</v>
      </c>
      <c r="N97">
        <v>34</v>
      </c>
      <c r="O97">
        <v>8.3000000000000007</v>
      </c>
      <c r="P97">
        <v>3.7</v>
      </c>
      <c r="Q97">
        <v>3.9</v>
      </c>
      <c r="R97">
        <v>17</v>
      </c>
      <c r="S97">
        <v>4</v>
      </c>
      <c r="T97">
        <v>2.1</v>
      </c>
      <c r="U97">
        <v>3.6</v>
      </c>
      <c r="V97">
        <v>34</v>
      </c>
      <c r="W97">
        <v>35.700000000000003</v>
      </c>
      <c r="X97">
        <v>79</v>
      </c>
      <c r="Y97">
        <v>44</v>
      </c>
      <c r="Z97">
        <v>13.3</v>
      </c>
      <c r="AA97">
        <v>20.5</v>
      </c>
      <c r="AB97">
        <v>47.1</v>
      </c>
      <c r="AC97">
        <v>9.6999999999999993</v>
      </c>
      <c r="AD97">
        <v>86</v>
      </c>
      <c r="AE97">
        <v>12.8</v>
      </c>
      <c r="AF97">
        <v>0.56999999999999995</v>
      </c>
      <c r="AG97">
        <v>34.200000000000003</v>
      </c>
      <c r="AH97">
        <v>0.54</v>
      </c>
      <c r="AI97">
        <v>12.4</v>
      </c>
      <c r="AJ97">
        <v>21</v>
      </c>
      <c r="AK97">
        <v>14</v>
      </c>
    </row>
    <row r="98" spans="1:37" x14ac:dyDescent="0.35">
      <c r="A98" t="s">
        <v>210</v>
      </c>
      <c r="B98">
        <v>3</v>
      </c>
      <c r="K98">
        <v>10</v>
      </c>
      <c r="L98">
        <v>38</v>
      </c>
      <c r="M98">
        <v>116</v>
      </c>
      <c r="N98">
        <v>31.7</v>
      </c>
      <c r="O98">
        <v>8.4</v>
      </c>
      <c r="P98">
        <v>3.8</v>
      </c>
      <c r="Q98">
        <v>3.1</v>
      </c>
      <c r="R98">
        <v>19</v>
      </c>
      <c r="S98">
        <v>6</v>
      </c>
      <c r="T98">
        <v>2.2000000000000002</v>
      </c>
      <c r="U98">
        <v>2.2000000000000002</v>
      </c>
      <c r="V98">
        <v>31.7</v>
      </c>
      <c r="W98">
        <v>35.299999999999997</v>
      </c>
      <c r="X98">
        <v>100</v>
      </c>
      <c r="Y98">
        <v>47.4</v>
      </c>
      <c r="Z98">
        <v>10.9</v>
      </c>
      <c r="AA98">
        <v>15.3</v>
      </c>
      <c r="AB98">
        <v>28.6</v>
      </c>
      <c r="AC98">
        <v>8.1999999999999993</v>
      </c>
      <c r="AD98">
        <v>105</v>
      </c>
      <c r="AE98">
        <v>9.6</v>
      </c>
      <c r="AF98">
        <v>0.27</v>
      </c>
      <c r="AG98">
        <v>46.8</v>
      </c>
      <c r="AH98">
        <v>0.47</v>
      </c>
      <c r="AI98">
        <v>10.199999999999999</v>
      </c>
      <c r="AJ98">
        <v>27</v>
      </c>
      <c r="AK98">
        <v>10</v>
      </c>
    </row>
    <row r="99" spans="1:37" x14ac:dyDescent="0.35">
      <c r="A99" t="s">
        <v>211</v>
      </c>
      <c r="B99">
        <v>3</v>
      </c>
      <c r="K99">
        <v>10</v>
      </c>
      <c r="L99">
        <v>41</v>
      </c>
      <c r="M99">
        <v>116</v>
      </c>
      <c r="N99">
        <v>28.3</v>
      </c>
      <c r="O99">
        <v>8.1999999999999993</v>
      </c>
      <c r="P99">
        <v>3.9</v>
      </c>
      <c r="Q99">
        <v>2.5</v>
      </c>
      <c r="R99">
        <v>19</v>
      </c>
      <c r="S99">
        <v>8</v>
      </c>
      <c r="T99">
        <v>2.4</v>
      </c>
      <c r="U99">
        <v>2.1</v>
      </c>
      <c r="V99">
        <v>28.3</v>
      </c>
      <c r="W99">
        <v>36.200000000000003</v>
      </c>
      <c r="X99">
        <v>67</v>
      </c>
      <c r="Y99">
        <v>27.1</v>
      </c>
      <c r="Z99">
        <v>12.2</v>
      </c>
      <c r="AA99">
        <v>16.899999999999999</v>
      </c>
      <c r="AB99">
        <v>25.2</v>
      </c>
      <c r="AC99">
        <v>8.4</v>
      </c>
      <c r="AD99">
        <v>64</v>
      </c>
      <c r="AE99">
        <v>10.5</v>
      </c>
      <c r="AF99">
        <v>0.35</v>
      </c>
      <c r="AG99">
        <v>48.1</v>
      </c>
      <c r="AH99">
        <v>0.56999999999999995</v>
      </c>
      <c r="AI99">
        <v>9.8000000000000007</v>
      </c>
      <c r="AJ99">
        <v>28</v>
      </c>
      <c r="AK99">
        <v>12</v>
      </c>
    </row>
    <row r="100" spans="1:37" x14ac:dyDescent="0.35">
      <c r="A100" t="s">
        <v>212</v>
      </c>
      <c r="B100">
        <v>3</v>
      </c>
      <c r="K100">
        <v>10</v>
      </c>
      <c r="L100">
        <v>39</v>
      </c>
      <c r="M100">
        <v>161</v>
      </c>
      <c r="N100">
        <v>65</v>
      </c>
      <c r="O100">
        <v>9</v>
      </c>
      <c r="P100">
        <v>4.2</v>
      </c>
      <c r="Q100">
        <v>2.5</v>
      </c>
      <c r="R100">
        <v>1.7</v>
      </c>
      <c r="S100">
        <v>7</v>
      </c>
      <c r="T100">
        <v>16</v>
      </c>
      <c r="U100">
        <v>2.2999999999999998</v>
      </c>
      <c r="V100">
        <v>21</v>
      </c>
      <c r="W100">
        <v>32.299999999999997</v>
      </c>
      <c r="X100">
        <v>92</v>
      </c>
      <c r="Y100">
        <v>68</v>
      </c>
      <c r="Z100">
        <v>11.7</v>
      </c>
      <c r="AA100">
        <v>17.600000000000001</v>
      </c>
      <c r="AB100">
        <v>45.8</v>
      </c>
      <c r="AC100">
        <v>9</v>
      </c>
      <c r="AD100">
        <v>103</v>
      </c>
      <c r="AE100">
        <v>10.9</v>
      </c>
      <c r="AF100">
        <v>0.45</v>
      </c>
      <c r="AG100">
        <v>36.799999999999997</v>
      </c>
      <c r="AH100">
        <v>0.57999999999999996</v>
      </c>
      <c r="AI100">
        <v>10.8</v>
      </c>
      <c r="AJ100">
        <v>18</v>
      </c>
      <c r="AK100">
        <v>13</v>
      </c>
    </row>
    <row r="101" spans="1:37" x14ac:dyDescent="0.35">
      <c r="A101" t="s">
        <v>213</v>
      </c>
      <c r="B101">
        <v>3</v>
      </c>
      <c r="K101">
        <v>9</v>
      </c>
      <c r="L101">
        <v>41</v>
      </c>
      <c r="M101">
        <v>160</v>
      </c>
      <c r="N101">
        <v>89</v>
      </c>
      <c r="O101">
        <v>9.8000000000000007</v>
      </c>
      <c r="P101">
        <v>4.4000000000000004</v>
      </c>
      <c r="Q101">
        <v>4.5</v>
      </c>
      <c r="R101">
        <v>2.2999999999999998</v>
      </c>
      <c r="S101">
        <v>6</v>
      </c>
      <c r="T101">
        <v>25</v>
      </c>
      <c r="U101">
        <v>2.5</v>
      </c>
      <c r="V101">
        <v>32</v>
      </c>
      <c r="W101">
        <v>44.7</v>
      </c>
      <c r="X101">
        <v>81</v>
      </c>
      <c r="Y101">
        <v>46.6</v>
      </c>
      <c r="Z101">
        <v>14.4</v>
      </c>
      <c r="AA101">
        <v>21.6</v>
      </c>
      <c r="AB101">
        <v>33.700000000000003</v>
      </c>
      <c r="AC101">
        <v>9</v>
      </c>
      <c r="AD101">
        <v>76</v>
      </c>
      <c r="AE101">
        <v>13</v>
      </c>
      <c r="AF101">
        <v>0.44</v>
      </c>
      <c r="AG101">
        <v>62.5</v>
      </c>
      <c r="AH101">
        <v>0.88</v>
      </c>
      <c r="AI101">
        <v>18.600000000000001</v>
      </c>
      <c r="AJ101">
        <v>34</v>
      </c>
      <c r="AK101">
        <v>14</v>
      </c>
    </row>
    <row r="102" spans="1:37" x14ac:dyDescent="0.35">
      <c r="A102" t="s">
        <v>214</v>
      </c>
      <c r="B102">
        <v>3</v>
      </c>
      <c r="K102">
        <v>11</v>
      </c>
      <c r="L102">
        <v>41</v>
      </c>
      <c r="M102">
        <v>156</v>
      </c>
      <c r="N102">
        <v>42</v>
      </c>
      <c r="O102">
        <v>8.8000000000000007</v>
      </c>
      <c r="P102">
        <v>3.7</v>
      </c>
      <c r="Q102">
        <v>1.7</v>
      </c>
      <c r="R102">
        <v>3</v>
      </c>
      <c r="S102">
        <v>11</v>
      </c>
      <c r="T102">
        <v>16</v>
      </c>
      <c r="U102">
        <v>2.4</v>
      </c>
      <c r="V102">
        <v>11.2</v>
      </c>
      <c r="W102">
        <v>34.299999999999997</v>
      </c>
      <c r="X102">
        <v>47</v>
      </c>
      <c r="Y102">
        <v>60.1</v>
      </c>
      <c r="Z102">
        <v>12.6</v>
      </c>
      <c r="AA102">
        <v>20.8</v>
      </c>
      <c r="AB102">
        <v>33</v>
      </c>
      <c r="AC102">
        <v>9.1</v>
      </c>
      <c r="AD102">
        <v>53</v>
      </c>
      <c r="AE102">
        <v>12</v>
      </c>
      <c r="AF102">
        <v>0.62</v>
      </c>
      <c r="AG102">
        <v>20.7</v>
      </c>
      <c r="AH102">
        <v>0.65</v>
      </c>
      <c r="AI102">
        <v>8.6999999999999993</v>
      </c>
      <c r="AJ102">
        <v>20</v>
      </c>
      <c r="AK102">
        <v>8</v>
      </c>
    </row>
    <row r="103" spans="1:37" x14ac:dyDescent="0.35">
      <c r="A103" t="s">
        <v>215</v>
      </c>
      <c r="B103">
        <v>3</v>
      </c>
      <c r="K103">
        <v>8</v>
      </c>
      <c r="L103">
        <v>41</v>
      </c>
      <c r="M103">
        <v>160</v>
      </c>
      <c r="N103">
        <v>83</v>
      </c>
      <c r="O103">
        <v>9</v>
      </c>
      <c r="P103">
        <v>3.4</v>
      </c>
      <c r="Q103">
        <v>2.2999999999999998</v>
      </c>
      <c r="R103">
        <v>2.4</v>
      </c>
      <c r="S103">
        <v>9</v>
      </c>
      <c r="T103">
        <v>19</v>
      </c>
      <c r="U103">
        <v>2.1</v>
      </c>
      <c r="V103">
        <v>27.5</v>
      </c>
      <c r="W103">
        <v>39.200000000000003</v>
      </c>
      <c r="X103">
        <v>84</v>
      </c>
      <c r="Y103">
        <v>38.799999999999997</v>
      </c>
      <c r="Z103">
        <v>12.2</v>
      </c>
      <c r="AA103">
        <v>18.2</v>
      </c>
      <c r="AB103">
        <v>32.700000000000003</v>
      </c>
      <c r="AC103">
        <v>8.5</v>
      </c>
      <c r="AD103">
        <v>77</v>
      </c>
      <c r="AE103">
        <v>10.3</v>
      </c>
      <c r="AF103">
        <v>0.43</v>
      </c>
      <c r="AG103">
        <v>31.7</v>
      </c>
      <c r="AH103">
        <v>0.73</v>
      </c>
      <c r="AI103">
        <v>11.8</v>
      </c>
      <c r="AJ103">
        <v>25</v>
      </c>
      <c r="AK103">
        <v>10</v>
      </c>
    </row>
    <row r="104" spans="1:37" x14ac:dyDescent="0.35">
      <c r="A104" t="s">
        <v>216</v>
      </c>
      <c r="B104">
        <v>3</v>
      </c>
      <c r="K104">
        <v>11</v>
      </c>
      <c r="L104">
        <v>46</v>
      </c>
      <c r="M104">
        <v>160</v>
      </c>
      <c r="N104">
        <v>51</v>
      </c>
      <c r="O104">
        <v>9.3000000000000007</v>
      </c>
      <c r="P104">
        <v>3.3</v>
      </c>
      <c r="Q104">
        <v>2</v>
      </c>
      <c r="R104">
        <v>1.7</v>
      </c>
      <c r="S104">
        <v>6</v>
      </c>
      <c r="T104">
        <v>13</v>
      </c>
      <c r="U104">
        <v>3.3</v>
      </c>
      <c r="V104">
        <v>19.3</v>
      </c>
      <c r="W104">
        <v>29.3</v>
      </c>
      <c r="X104">
        <v>31</v>
      </c>
      <c r="Y104">
        <v>20.399999999999999</v>
      </c>
      <c r="Z104">
        <v>12.3</v>
      </c>
      <c r="AA104">
        <v>18</v>
      </c>
      <c r="AB104">
        <v>12.6</v>
      </c>
      <c r="AC104">
        <v>7.7</v>
      </c>
      <c r="AD104">
        <v>30</v>
      </c>
      <c r="AE104">
        <v>9.8000000000000007</v>
      </c>
      <c r="AF104">
        <v>0.34</v>
      </c>
      <c r="AG104">
        <v>20.5</v>
      </c>
      <c r="AH104">
        <v>1</v>
      </c>
      <c r="AI104">
        <v>7.9</v>
      </c>
      <c r="AJ104">
        <v>43</v>
      </c>
      <c r="AK104">
        <v>9</v>
      </c>
    </row>
    <row r="105" spans="1:37" x14ac:dyDescent="0.35">
      <c r="A105" t="s">
        <v>217</v>
      </c>
      <c r="B105">
        <v>3</v>
      </c>
      <c r="K105">
        <v>12</v>
      </c>
      <c r="L105">
        <v>47</v>
      </c>
      <c r="M105">
        <v>161</v>
      </c>
      <c r="N105">
        <v>109</v>
      </c>
      <c r="O105">
        <v>9.6999999999999993</v>
      </c>
      <c r="P105">
        <v>5.0999999999999996</v>
      </c>
      <c r="Q105">
        <v>3.2</v>
      </c>
      <c r="R105">
        <v>2.8</v>
      </c>
      <c r="S105">
        <v>7</v>
      </c>
      <c r="T105">
        <v>22</v>
      </c>
      <c r="U105">
        <v>2.7</v>
      </c>
      <c r="V105">
        <v>33</v>
      </c>
      <c r="W105">
        <v>39.299999999999997</v>
      </c>
      <c r="X105">
        <v>48</v>
      </c>
      <c r="Y105">
        <v>27</v>
      </c>
      <c r="Z105">
        <v>13.6</v>
      </c>
      <c r="AA105">
        <v>17.7</v>
      </c>
      <c r="AB105">
        <v>18.5</v>
      </c>
      <c r="AC105">
        <v>9</v>
      </c>
      <c r="AD105">
        <v>50</v>
      </c>
      <c r="AE105">
        <v>11.1</v>
      </c>
      <c r="AF105">
        <v>0.38</v>
      </c>
      <c r="AG105">
        <v>80.5</v>
      </c>
      <c r="AH105">
        <v>0.51</v>
      </c>
      <c r="AI105">
        <v>7.9</v>
      </c>
      <c r="AJ105">
        <v>29</v>
      </c>
      <c r="AK105">
        <v>8</v>
      </c>
    </row>
    <row r="106" spans="1:37" x14ac:dyDescent="0.35">
      <c r="A106" t="s">
        <v>218</v>
      </c>
      <c r="B106">
        <v>3</v>
      </c>
      <c r="K106">
        <v>10</v>
      </c>
      <c r="L106">
        <v>43</v>
      </c>
      <c r="M106">
        <v>161</v>
      </c>
      <c r="N106">
        <v>62</v>
      </c>
      <c r="O106">
        <v>9.6999999999999993</v>
      </c>
      <c r="P106">
        <v>4.4000000000000004</v>
      </c>
      <c r="Q106">
        <v>1.8</v>
      </c>
      <c r="R106">
        <v>2.9</v>
      </c>
      <c r="S106">
        <v>13</v>
      </c>
      <c r="T106">
        <v>22</v>
      </c>
      <c r="U106">
        <v>2.1</v>
      </c>
      <c r="V106">
        <v>12.5</v>
      </c>
      <c r="W106">
        <v>39.200000000000003</v>
      </c>
      <c r="X106">
        <v>31</v>
      </c>
      <c r="Y106">
        <v>17.399999999999999</v>
      </c>
      <c r="Z106">
        <v>11</v>
      </c>
      <c r="AA106">
        <v>17.600000000000001</v>
      </c>
      <c r="AB106">
        <v>13.1</v>
      </c>
      <c r="AC106">
        <v>8.6</v>
      </c>
      <c r="AD106">
        <v>40</v>
      </c>
      <c r="AE106">
        <v>10.5</v>
      </c>
      <c r="AF106">
        <v>0.3</v>
      </c>
      <c r="AG106">
        <v>29.7</v>
      </c>
      <c r="AH106">
        <v>0.56000000000000005</v>
      </c>
      <c r="AI106">
        <v>4.2</v>
      </c>
      <c r="AJ106">
        <v>26</v>
      </c>
      <c r="AK106">
        <v>11</v>
      </c>
    </row>
  </sheetData>
  <conditionalFormatting sqref="A2:A106">
    <cfRule type="containsBlanks" dxfId="0" priority="1">
      <formula>LEN(TRIM(A2))=0</formula>
    </cfRule>
  </conditionalFormatting>
  <dataValidations count="1">
    <dataValidation allowBlank="1" showInputMessage="1" showErrorMessage="1" promptTitle="Please enter data here!" prompt="Lines (ACCENUMB from MCPD data) on the Y axis and phenotypes (which are described in PHENOTYPES tab) on the x axis. The actual phenotype value goes in the matrix cells. See DATA_EXAMPLE tab for more information before completion." sqref="A1" xr:uid="{00000000-0002-0000-0200-000000000000}"/>
  </dataValidation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
  <sheetViews>
    <sheetView workbookViewId="0">
      <selection activeCell="E10" sqref="E10"/>
    </sheetView>
  </sheetViews>
  <sheetFormatPr defaultRowHeight="14.5" x14ac:dyDescent="0.35"/>
  <cols>
    <col min="1" max="1" width="17.7265625" bestFit="1" customWidth="1"/>
    <col min="2" max="2" width="6.7265625" bestFit="1" customWidth="1"/>
    <col min="3" max="3" width="8" bestFit="1" customWidth="1"/>
    <col min="4" max="4" width="7.1796875" bestFit="1" customWidth="1"/>
    <col min="5" max="5" width="10.1796875" bestFit="1" customWidth="1"/>
    <col min="6" max="6" width="12.54296875" bestFit="1" customWidth="1"/>
    <col min="7" max="7" width="10.7265625" bestFit="1" customWidth="1"/>
    <col min="8" max="8" width="10.54296875" bestFit="1" customWidth="1"/>
    <col min="9" max="9" width="12.1796875" bestFit="1" customWidth="1"/>
    <col min="10" max="10" width="11.54296875" bestFit="1" customWidth="1"/>
  </cols>
  <sheetData>
    <row r="1" spans="1:10" x14ac:dyDescent="0.35">
      <c r="A1" s="1" t="s">
        <v>7</v>
      </c>
      <c r="B1" s="1" t="s">
        <v>29</v>
      </c>
      <c r="C1" s="1" t="s">
        <v>97</v>
      </c>
      <c r="D1" s="1" t="s">
        <v>115</v>
      </c>
      <c r="E1" s="1" t="s">
        <v>116</v>
      </c>
      <c r="F1" s="1" t="s">
        <v>30</v>
      </c>
      <c r="G1" t="s">
        <v>91</v>
      </c>
      <c r="H1" t="s">
        <v>71</v>
      </c>
      <c r="I1" t="s">
        <v>72</v>
      </c>
      <c r="J1" t="s">
        <v>70</v>
      </c>
    </row>
  </sheetData>
  <dataValidations xWindow="96" yWindow="450"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F1" xr:uid="{13E30841-E8AE-4AEA-9BB5-750247107F69}"/>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331A2-8F6C-4EC4-B723-84C59F96FDF0}">
  <dimension ref="A1:H5"/>
  <sheetViews>
    <sheetView workbookViewId="0">
      <selection activeCell="A2" sqref="A2"/>
    </sheetView>
  </sheetViews>
  <sheetFormatPr defaultRowHeight="14.5" x14ac:dyDescent="0.35"/>
  <cols>
    <col min="1" max="1" width="11.453125" bestFit="1" customWidth="1"/>
    <col min="2" max="2" width="11.453125" customWidth="1"/>
    <col min="3" max="3" width="8.453125" bestFit="1" customWidth="1"/>
  </cols>
  <sheetData>
    <row r="1" spans="1:8" x14ac:dyDescent="0.35">
      <c r="A1" t="s">
        <v>88</v>
      </c>
      <c r="B1" t="s">
        <v>44</v>
      </c>
      <c r="C1" t="s">
        <v>89</v>
      </c>
      <c r="H1" t="s">
        <v>90</v>
      </c>
    </row>
    <row r="2" spans="1:8" x14ac:dyDescent="0.35">
      <c r="H2" t="s">
        <v>85</v>
      </c>
    </row>
    <row r="3" spans="1:8" x14ac:dyDescent="0.35">
      <c r="H3" t="s">
        <v>86</v>
      </c>
    </row>
    <row r="4" spans="1:8" x14ac:dyDescent="0.35">
      <c r="H4" t="s">
        <v>87</v>
      </c>
    </row>
    <row r="5" spans="1:8" x14ac:dyDescent="0.35">
      <c r="H5" t="s">
        <v>76</v>
      </c>
    </row>
  </sheetData>
  <dataValidations count="1">
    <dataValidation type="list" allowBlank="1" showInputMessage="1" showErrorMessage="1" sqref="B1:B1048576" xr:uid="{A99E7B79-269E-427E-A290-9658276FC0EE}">
      <formula1>$H$2:$H$5</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B6D0-8EC1-4029-B8F6-04E7D9736B3A}">
  <dimension ref="A1:I2"/>
  <sheetViews>
    <sheetView workbookViewId="0">
      <selection activeCell="C33" sqref="C33"/>
    </sheetView>
  </sheetViews>
  <sheetFormatPr defaultColWidth="9.1796875" defaultRowHeight="14.5" x14ac:dyDescent="0.35"/>
  <cols>
    <col min="1" max="1" width="42.453125" style="17" customWidth="1"/>
    <col min="2" max="4" width="40.81640625" style="17" customWidth="1"/>
    <col min="5" max="5" width="46.453125" style="17" customWidth="1"/>
    <col min="6" max="6" width="53.1796875" style="18" customWidth="1"/>
    <col min="7" max="7" width="42.26953125" style="17" customWidth="1"/>
    <col min="8" max="8" width="25" style="17" customWidth="1"/>
    <col min="9" max="9" width="13.453125" style="17" customWidth="1"/>
    <col min="10" max="16384" width="9.1796875" style="17"/>
  </cols>
  <sheetData>
    <row r="1" spans="1:9" x14ac:dyDescent="0.35">
      <c r="A1" s="15" t="s">
        <v>56</v>
      </c>
      <c r="B1" s="15" t="s">
        <v>57</v>
      </c>
      <c r="C1" s="19" t="s">
        <v>110</v>
      </c>
      <c r="D1" s="19" t="s">
        <v>111</v>
      </c>
      <c r="E1" s="15" t="s">
        <v>5</v>
      </c>
      <c r="F1" s="16" t="s">
        <v>58</v>
      </c>
      <c r="G1" s="15" t="s">
        <v>59</v>
      </c>
      <c r="H1" s="15" t="s">
        <v>60</v>
      </c>
      <c r="I1" s="19" t="s">
        <v>69</v>
      </c>
    </row>
    <row r="2" spans="1:9" ht="87" x14ac:dyDescent="0.35">
      <c r="A2" s="15" t="s">
        <v>61</v>
      </c>
      <c r="B2" s="15" t="s">
        <v>62</v>
      </c>
      <c r="C2" s="19" t="s">
        <v>112</v>
      </c>
      <c r="D2" s="19" t="s">
        <v>113</v>
      </c>
      <c r="E2" s="15" t="s">
        <v>63</v>
      </c>
      <c r="F2" s="16" t="s">
        <v>64</v>
      </c>
      <c r="G2" s="15" t="s">
        <v>65</v>
      </c>
      <c r="H2" s="15" t="s">
        <v>66</v>
      </c>
      <c r="I2" s="15" t="s">
        <v>73</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7D861-9536-4856-8988-38BB3B3563D5}">
  <dimension ref="A1:F2"/>
  <sheetViews>
    <sheetView workbookViewId="0">
      <selection activeCell="C2" sqref="C2"/>
    </sheetView>
  </sheetViews>
  <sheetFormatPr defaultRowHeight="14.5" x14ac:dyDescent="0.35"/>
  <cols>
    <col min="1" max="1" width="13.81640625" bestFit="1" customWidth="1"/>
    <col min="2" max="2" width="13.26953125" customWidth="1"/>
    <col min="3" max="3" width="10.1796875" customWidth="1"/>
    <col min="4" max="4" width="11.453125" customWidth="1"/>
    <col min="5" max="5" width="10.453125" customWidth="1"/>
    <col min="6" max="6" width="12" customWidth="1"/>
  </cols>
  <sheetData>
    <row r="1" spans="1:6" x14ac:dyDescent="0.35">
      <c r="A1" t="s">
        <v>0</v>
      </c>
      <c r="B1" t="s">
        <v>68</v>
      </c>
      <c r="C1" t="s">
        <v>69</v>
      </c>
      <c r="D1" t="s">
        <v>70</v>
      </c>
      <c r="E1" t="s">
        <v>71</v>
      </c>
      <c r="F1" t="s">
        <v>72</v>
      </c>
    </row>
    <row r="2" spans="1:6" x14ac:dyDescent="0.35">
      <c r="A2" t="s">
        <v>182</v>
      </c>
      <c r="B2" t="s">
        <v>183</v>
      </c>
      <c r="C2" t="s">
        <v>94</v>
      </c>
    </row>
  </sheetData>
  <dataValidations count="1">
    <dataValidation allowBlank="1" showInputMessage="1" showErrorMessage="1" promptTitle="ISO 3166-1 alpha-2" prompt="https://en.wikipedia.org/wiki/ISO_3166-1_alpha-2_x000a_" sqref="C1" xr:uid="{0D9EB899-F3F3-4ABD-A285-8DBAE030C105}"/>
  </dataValidation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A9259-3A2D-497C-B3D7-300C547C2DDB}">
  <sheetPr>
    <tabColor theme="4"/>
  </sheetPr>
  <dimension ref="A1:F3"/>
  <sheetViews>
    <sheetView workbookViewId="0">
      <selection activeCell="E2" sqref="E2:F3"/>
    </sheetView>
  </sheetViews>
  <sheetFormatPr defaultRowHeight="14.5" x14ac:dyDescent="0.35"/>
  <sheetData>
    <row r="1" spans="1:6" x14ac:dyDescent="0.35">
      <c r="A1" t="s">
        <v>0</v>
      </c>
      <c r="B1" t="s">
        <v>68</v>
      </c>
      <c r="C1" t="s">
        <v>69</v>
      </c>
      <c r="D1" t="s">
        <v>70</v>
      </c>
      <c r="E1" t="s">
        <v>71</v>
      </c>
      <c r="F1" t="s">
        <v>72</v>
      </c>
    </row>
    <row r="2" spans="1:6" x14ac:dyDescent="0.35">
      <c r="A2" t="s">
        <v>92</v>
      </c>
      <c r="B2" t="s">
        <v>93</v>
      </c>
      <c r="C2" t="s">
        <v>94</v>
      </c>
      <c r="D2">
        <v>30</v>
      </c>
      <c r="E2">
        <v>56.483783000000003</v>
      </c>
      <c r="F2">
        <v>-3.1135030000000001</v>
      </c>
    </row>
    <row r="3" spans="1:6" x14ac:dyDescent="0.35">
      <c r="A3" t="s">
        <v>95</v>
      </c>
      <c r="B3" t="s">
        <v>96</v>
      </c>
      <c r="C3" t="s">
        <v>94</v>
      </c>
      <c r="D3">
        <v>140</v>
      </c>
      <c r="E3">
        <v>56.481081000000003</v>
      </c>
      <c r="F3">
        <v>-3.135132</v>
      </c>
    </row>
  </sheetData>
  <dataValidations count="1">
    <dataValidation allowBlank="1" showInputMessage="1" showErrorMessage="1" promptTitle="ISO 3166-1 alpha-2" prompt="https://en.wikipedia.org/wiki/ISO_3166-1_alpha-2_x000a_" sqref="C1" xr:uid="{36A6CCAA-60ED-49BA-A3B5-70BC336495BF}"/>
  </dataValidation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J5"/>
  <sheetViews>
    <sheetView workbookViewId="0">
      <selection activeCell="D4" sqref="D4"/>
    </sheetView>
  </sheetViews>
  <sheetFormatPr defaultRowHeight="14.5" x14ac:dyDescent="0.35"/>
  <cols>
    <col min="1" max="1" width="19.81640625" bestFit="1" customWidth="1"/>
    <col min="2" max="2" width="13.7265625" bestFit="1" customWidth="1"/>
    <col min="3" max="3" width="104.453125" bestFit="1" customWidth="1"/>
    <col min="4" max="4" width="12" bestFit="1" customWidth="1"/>
    <col min="5" max="5" width="12.81640625" bestFit="1" customWidth="1"/>
    <col min="6" max="6" width="19.26953125" bestFit="1" customWidth="1"/>
    <col min="7" max="7" width="18.7265625" bestFit="1" customWidth="1"/>
    <col min="8" max="8" width="35.1796875" bestFit="1" customWidth="1"/>
    <col min="9" max="9" width="28.81640625" bestFit="1" customWidth="1"/>
    <col min="10" max="10" width="29.1796875" bestFit="1" customWidth="1"/>
  </cols>
  <sheetData>
    <row r="1" spans="1:10" x14ac:dyDescent="0.35">
      <c r="A1" s="21" t="s">
        <v>0</v>
      </c>
      <c r="B1" t="s">
        <v>1</v>
      </c>
      <c r="C1" t="s">
        <v>2</v>
      </c>
      <c r="D1" s="21" t="s">
        <v>3</v>
      </c>
      <c r="E1" t="s">
        <v>10</v>
      </c>
      <c r="F1" t="s">
        <v>8</v>
      </c>
      <c r="G1" t="s">
        <v>9</v>
      </c>
      <c r="H1" t="s">
        <v>75</v>
      </c>
      <c r="I1" t="s">
        <v>77</v>
      </c>
      <c r="J1" t="s">
        <v>78</v>
      </c>
    </row>
    <row r="2" spans="1:10" x14ac:dyDescent="0.35">
      <c r="A2" t="s">
        <v>15</v>
      </c>
      <c r="B2" t="s">
        <v>16</v>
      </c>
      <c r="C2" t="s">
        <v>17</v>
      </c>
      <c r="D2" t="s">
        <v>85</v>
      </c>
      <c r="E2" t="s">
        <v>13</v>
      </c>
      <c r="F2" t="s">
        <v>14</v>
      </c>
      <c r="G2" t="s">
        <v>13</v>
      </c>
    </row>
    <row r="3" spans="1:10" x14ac:dyDescent="0.35">
      <c r="A3" t="s">
        <v>18</v>
      </c>
      <c r="B3" t="s">
        <v>19</v>
      </c>
      <c r="C3" t="s">
        <v>20</v>
      </c>
      <c r="D3" t="s">
        <v>85</v>
      </c>
      <c r="E3" t="s">
        <v>21</v>
      </c>
      <c r="F3" t="s">
        <v>22</v>
      </c>
      <c r="G3" t="s">
        <v>21</v>
      </c>
    </row>
    <row r="4" spans="1:10" x14ac:dyDescent="0.35">
      <c r="A4" t="s">
        <v>23</v>
      </c>
      <c r="B4" t="s">
        <v>24</v>
      </c>
      <c r="C4" t="s">
        <v>23</v>
      </c>
      <c r="D4" t="s">
        <v>85</v>
      </c>
      <c r="E4" t="s">
        <v>13</v>
      </c>
      <c r="F4" t="s">
        <v>14</v>
      </c>
      <c r="G4" t="s">
        <v>13</v>
      </c>
    </row>
    <row r="5" spans="1:10" x14ac:dyDescent="0.35">
      <c r="A5" t="s">
        <v>79</v>
      </c>
      <c r="B5" t="s">
        <v>80</v>
      </c>
      <c r="C5" t="s">
        <v>79</v>
      </c>
      <c r="D5" t="s">
        <v>76</v>
      </c>
      <c r="H5" t="s">
        <v>81</v>
      </c>
    </row>
  </sheetData>
  <dataValidations count="8">
    <dataValidation allowBlank="1" showInputMessage="1" showErrorMessage="1" promptTitle="Unit Description" prompt="A description of the unit." sqref="G1" xr:uid="{16D5CC04-3B65-4F55-B2C4-EE9D936D07C4}"/>
    <dataValidation allowBlank="1" showInputMessage="1" showErrorMessage="1" promptTitle="Unit Abbreviation" prompt="Abbreviation for unit. Examples include 'l' or 'cm'" sqref="F1" xr:uid="{AC4F8502-A851-4CCB-B918-5D4763FB006B}"/>
    <dataValidation allowBlank="1" showInputMessage="1" showErrorMessage="1" promptTitle="Unit Name" prompt="The name of the unit that is defined. Examples would include 'centimetre' or 'litre'" sqref="E1" xr:uid="{37849AFC-2B54-4F44-9627-B74E742F0D18}"/>
    <dataValidation allowBlank="1" showInputMessage="1" showErrorMessage="1" promptTitle="Phenotype Description" prompt="This should be a full description of the phenotype. There is no limit to the length of text that can be used here so please be descriptive." sqref="C1" xr:uid="{2CCAF288-83B4-472D-98B9-8B258E2B4286}"/>
    <dataValidation allowBlank="1" showInputMessage="1" showErrorMessage="1" promptTitle="Phenotype Short Name" prompt="This is should be a shortened version of the phenotype name. This is used on some of the Germinate pages which use tables so that the phenotype name fits." sqref="B1" xr:uid="{FAAEA96D-BB37-46C4-B5FE-E1B1136C836A}"/>
    <dataValidation allowBlank="1" showInputMessage="1" showErrorMessage="1" promptTitle="Phenotype Name" prompt="This should be the full name of the phenotype that has been scored." sqref="A1" xr:uid="{08E60448-4E9F-47ED-930C-AB529B5A231D}"/>
    <dataValidation type="list" allowBlank="1" showInputMessage="1" showErrorMessage="1" sqref="D1" xr:uid="{9D8AB10C-6262-46B1-9E10-D45C03C4CFD6}">
      <formula1>$L$2:$L$4</formula1>
    </dataValidation>
    <dataValidation allowBlank="1" showInputMessage="1" showErrorMessage="1" promptTitle="Trait categories" prompt="These are the possible values of this trait. Please specify them in this format_x000a_[[&quot;first&quot;, &quot;second&quot;, &quot;third&quot;],[&quot;1&quot;, &quot;2&quot;, &quot;3&quot;]]_x000a_This example shows two scales for this trait, one descriptive and one numerical. If you only have one, please only specify one." sqref="H1" xr:uid="{27E89C82-A161-4A20-A11B-D2A61F76957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N12"/>
  <sheetViews>
    <sheetView workbookViewId="0">
      <selection activeCell="D1" sqref="D1:E12"/>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8" width="12.54296875" customWidth="1"/>
    <col min="9" max="9" width="17.453125" customWidth="1"/>
    <col min="10" max="10" width="12.54296875" customWidth="1"/>
    <col min="11" max="11" width="14.453125" bestFit="1" customWidth="1"/>
    <col min="12" max="12" width="24.453125" bestFit="1" customWidth="1"/>
    <col min="13" max="13" width="11.54296875" bestFit="1" customWidth="1"/>
    <col min="14" max="14" width="14.453125" bestFit="1" customWidth="1"/>
  </cols>
  <sheetData>
    <row r="1" spans="1:14" x14ac:dyDescent="0.35">
      <c r="A1" s="1" t="s">
        <v>7</v>
      </c>
      <c r="B1" s="1" t="s">
        <v>29</v>
      </c>
      <c r="C1" s="1" t="s">
        <v>97</v>
      </c>
      <c r="D1" s="1" t="s">
        <v>115</v>
      </c>
      <c r="E1" s="1" t="s">
        <v>116</v>
      </c>
      <c r="F1" s="1" t="s">
        <v>30</v>
      </c>
      <c r="G1" s="1" t="s">
        <v>91</v>
      </c>
      <c r="H1" s="1" t="s">
        <v>71</v>
      </c>
      <c r="I1" s="1" t="s">
        <v>72</v>
      </c>
      <c r="J1" s="1" t="s">
        <v>70</v>
      </c>
      <c r="K1" s="2" t="s">
        <v>15</v>
      </c>
      <c r="L1" s="2" t="s">
        <v>18</v>
      </c>
      <c r="M1" t="s">
        <v>23</v>
      </c>
      <c r="N1" t="s">
        <v>79</v>
      </c>
    </row>
    <row r="2" spans="1:14" x14ac:dyDescent="0.35">
      <c r="A2" t="s">
        <v>25</v>
      </c>
      <c r="B2">
        <v>1</v>
      </c>
      <c r="C2">
        <v>1</v>
      </c>
      <c r="D2">
        <v>1</v>
      </c>
      <c r="E2">
        <v>1</v>
      </c>
      <c r="F2" t="s">
        <v>31</v>
      </c>
      <c r="G2" t="s">
        <v>92</v>
      </c>
      <c r="H2">
        <v>56.46152</v>
      </c>
      <c r="I2">
        <v>-3.1109200000000001</v>
      </c>
      <c r="J2">
        <v>38.9</v>
      </c>
      <c r="K2">
        <v>15.698600000000001</v>
      </c>
      <c r="L2">
        <v>7</v>
      </c>
      <c r="M2">
        <v>20.435199999999998</v>
      </c>
      <c r="N2" t="s">
        <v>82</v>
      </c>
    </row>
    <row r="3" spans="1:14" x14ac:dyDescent="0.35">
      <c r="A3" t="s">
        <v>25</v>
      </c>
      <c r="B3">
        <v>2</v>
      </c>
      <c r="C3">
        <v>1</v>
      </c>
      <c r="D3">
        <v>2</v>
      </c>
      <c r="E3">
        <v>1</v>
      </c>
      <c r="F3" t="s">
        <v>31</v>
      </c>
      <c r="G3" t="s">
        <v>95</v>
      </c>
      <c r="H3">
        <v>56.470471000000003</v>
      </c>
      <c r="I3">
        <v>-3.1227999999999998</v>
      </c>
      <c r="J3">
        <v>26.4</v>
      </c>
      <c r="K3">
        <v>17.075500000000002</v>
      </c>
      <c r="L3">
        <v>8</v>
      </c>
      <c r="M3">
        <v>24.342500000000001</v>
      </c>
      <c r="N3" t="s">
        <v>82</v>
      </c>
    </row>
    <row r="4" spans="1:14" x14ac:dyDescent="0.35">
      <c r="A4" t="s">
        <v>25</v>
      </c>
      <c r="B4">
        <v>1</v>
      </c>
      <c r="C4">
        <v>2</v>
      </c>
      <c r="D4">
        <v>3</v>
      </c>
      <c r="E4">
        <v>1</v>
      </c>
      <c r="F4" t="s">
        <v>32</v>
      </c>
      <c r="G4" t="s">
        <v>92</v>
      </c>
      <c r="H4">
        <v>56.465794000000002</v>
      </c>
      <c r="I4">
        <v>-3.12696</v>
      </c>
      <c r="J4">
        <v>98.1</v>
      </c>
      <c r="K4">
        <v>5.6565000000000003</v>
      </c>
      <c r="L4">
        <v>1</v>
      </c>
      <c r="M4">
        <v>10.432399999999999</v>
      </c>
      <c r="N4" t="s">
        <v>83</v>
      </c>
    </row>
    <row r="5" spans="1:14" x14ac:dyDescent="0.35">
      <c r="A5" t="s">
        <v>25</v>
      </c>
      <c r="B5">
        <v>2</v>
      </c>
      <c r="C5">
        <v>1</v>
      </c>
      <c r="D5">
        <v>4</v>
      </c>
      <c r="E5">
        <v>1</v>
      </c>
      <c r="F5" t="s">
        <v>32</v>
      </c>
      <c r="G5" t="s">
        <v>95</v>
      </c>
      <c r="H5">
        <v>56.468415</v>
      </c>
      <c r="I5">
        <v>-3.1256499999999998</v>
      </c>
      <c r="J5">
        <v>76.5</v>
      </c>
      <c r="K5">
        <v>6.4452999999999996</v>
      </c>
      <c r="L5">
        <v>2</v>
      </c>
      <c r="M5">
        <v>9.4054000000000002</v>
      </c>
      <c r="N5" t="s">
        <v>84</v>
      </c>
    </row>
    <row r="6" spans="1:14" x14ac:dyDescent="0.35">
      <c r="A6" t="s">
        <v>26</v>
      </c>
      <c r="B6">
        <v>1</v>
      </c>
      <c r="C6">
        <v>1</v>
      </c>
      <c r="D6">
        <v>1</v>
      </c>
      <c r="E6">
        <v>2</v>
      </c>
      <c r="F6" t="s">
        <v>31</v>
      </c>
      <c r="G6" t="s">
        <v>92</v>
      </c>
      <c r="H6">
        <v>56.470269999999999</v>
      </c>
      <c r="I6">
        <v>-3.1406999999999998</v>
      </c>
      <c r="J6">
        <v>76.2</v>
      </c>
      <c r="K6">
        <v>16.232500000000002</v>
      </c>
      <c r="M6">
        <v>21.435600000000001</v>
      </c>
      <c r="N6" t="s">
        <v>83</v>
      </c>
    </row>
    <row r="7" spans="1:14" x14ac:dyDescent="0.35">
      <c r="A7" t="s">
        <v>26</v>
      </c>
      <c r="B7">
        <v>2</v>
      </c>
      <c r="C7">
        <v>2</v>
      </c>
      <c r="D7">
        <v>2</v>
      </c>
      <c r="E7">
        <v>2</v>
      </c>
      <c r="F7" t="s">
        <v>31</v>
      </c>
      <c r="G7" t="s">
        <v>95</v>
      </c>
      <c r="H7">
        <v>56.471969000000001</v>
      </c>
      <c r="I7">
        <v>-3.11985</v>
      </c>
      <c r="J7">
        <v>62.4</v>
      </c>
      <c r="K7">
        <v>17.552600000000002</v>
      </c>
      <c r="M7">
        <v>22.467400000000001</v>
      </c>
      <c r="N7" t="s">
        <v>82</v>
      </c>
    </row>
    <row r="8" spans="1:14" x14ac:dyDescent="0.35">
      <c r="A8" t="s">
        <v>26</v>
      </c>
      <c r="B8">
        <v>1</v>
      </c>
      <c r="C8">
        <v>1</v>
      </c>
      <c r="D8">
        <v>3</v>
      </c>
      <c r="E8">
        <v>2</v>
      </c>
      <c r="F8" t="s">
        <v>32</v>
      </c>
      <c r="G8" t="s">
        <v>92</v>
      </c>
      <c r="H8">
        <v>56.468760000000003</v>
      </c>
      <c r="I8">
        <v>-3.1153</v>
      </c>
      <c r="J8">
        <v>56.4</v>
      </c>
      <c r="K8">
        <v>4.5321999999999996</v>
      </c>
      <c r="L8">
        <v>2</v>
      </c>
      <c r="M8">
        <v>16.546600000000002</v>
      </c>
      <c r="N8" t="s">
        <v>84</v>
      </c>
    </row>
    <row r="9" spans="1:14" x14ac:dyDescent="0.35">
      <c r="A9" t="s">
        <v>26</v>
      </c>
      <c r="B9">
        <v>2</v>
      </c>
      <c r="C9">
        <v>2</v>
      </c>
      <c r="D9">
        <v>4</v>
      </c>
      <c r="E9">
        <v>2</v>
      </c>
      <c r="F9" t="s">
        <v>32</v>
      </c>
      <c r="G9" t="s">
        <v>95</v>
      </c>
      <c r="H9">
        <v>56.467841999999997</v>
      </c>
      <c r="I9">
        <v>-3.1088</v>
      </c>
      <c r="J9">
        <v>68.900000000000006</v>
      </c>
      <c r="K9">
        <v>6.3562000000000003</v>
      </c>
      <c r="L9">
        <v>3</v>
      </c>
      <c r="M9">
        <v>15.545299999999999</v>
      </c>
      <c r="N9" t="s">
        <v>83</v>
      </c>
    </row>
    <row r="10" spans="1:14" x14ac:dyDescent="0.35">
      <c r="A10" t="s">
        <v>27</v>
      </c>
      <c r="B10">
        <v>1</v>
      </c>
      <c r="C10">
        <v>1</v>
      </c>
      <c r="D10">
        <v>1</v>
      </c>
      <c r="E10">
        <v>3</v>
      </c>
      <c r="F10" t="s">
        <v>31</v>
      </c>
      <c r="G10" t="s">
        <v>92</v>
      </c>
      <c r="H10">
        <v>56.469270999999999</v>
      </c>
      <c r="I10">
        <v>-3.14317</v>
      </c>
      <c r="J10">
        <v>85.6</v>
      </c>
      <c r="K10">
        <v>14.5463</v>
      </c>
      <c r="L10">
        <v>6</v>
      </c>
      <c r="M10">
        <v>24.545300000000001</v>
      </c>
      <c r="N10" t="s">
        <v>83</v>
      </c>
    </row>
    <row r="11" spans="1:14" x14ac:dyDescent="0.35">
      <c r="A11" t="s">
        <v>27</v>
      </c>
      <c r="B11">
        <v>2</v>
      </c>
      <c r="C11">
        <v>2</v>
      </c>
      <c r="D11">
        <v>2</v>
      </c>
      <c r="E11">
        <v>3</v>
      </c>
      <c r="F11" t="s">
        <v>31</v>
      </c>
      <c r="G11" t="s">
        <v>95</v>
      </c>
      <c r="H11">
        <v>56.472653000000001</v>
      </c>
      <c r="I11">
        <v>-3.1432699999999998</v>
      </c>
      <c r="J11">
        <v>23.6</v>
      </c>
      <c r="K11">
        <v>20.435600000000001</v>
      </c>
      <c r="L11">
        <v>8</v>
      </c>
      <c r="M11">
        <v>25.5366</v>
      </c>
      <c r="N11" t="s">
        <v>83</v>
      </c>
    </row>
    <row r="12" spans="1:14" x14ac:dyDescent="0.35">
      <c r="A12" t="s">
        <v>27</v>
      </c>
      <c r="B12">
        <v>1</v>
      </c>
      <c r="C12">
        <v>1</v>
      </c>
      <c r="D12">
        <v>3</v>
      </c>
      <c r="E12">
        <v>3</v>
      </c>
      <c r="F12" t="s">
        <v>32</v>
      </c>
      <c r="G12" t="s">
        <v>92</v>
      </c>
      <c r="H12">
        <v>56.461801000000001</v>
      </c>
      <c r="I12">
        <v>-3.1385399999999999</v>
      </c>
      <c r="J12">
        <v>85.9</v>
      </c>
      <c r="L12">
        <v>1</v>
      </c>
      <c r="M12">
        <v>9.4344999999999999</v>
      </c>
      <c r="N12" t="s">
        <v>82</v>
      </c>
    </row>
  </sheetData>
  <phoneticPr fontId="9"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1:M20"/>
  <sheetViews>
    <sheetView workbookViewId="0">
      <selection activeCell="G11" sqref="G11"/>
    </sheetView>
  </sheetViews>
  <sheetFormatPr defaultRowHeight="14.5" x14ac:dyDescent="0.35"/>
  <cols>
    <col min="1" max="1" width="17.7265625" bestFit="1" customWidth="1"/>
    <col min="2" max="2" width="6.7265625" bestFit="1" customWidth="1"/>
    <col min="3" max="5" width="6.7265625" customWidth="1"/>
    <col min="6" max="6" width="12.54296875" bestFit="1" customWidth="1"/>
    <col min="7" max="10" width="12.54296875" customWidth="1"/>
    <col min="11" max="11" width="14.453125" bestFit="1" customWidth="1"/>
    <col min="12" max="12" width="24.453125" bestFit="1" customWidth="1"/>
    <col min="13" max="13" width="11.54296875" bestFit="1" customWidth="1"/>
  </cols>
  <sheetData>
    <row r="1" spans="1:13" x14ac:dyDescent="0.35">
      <c r="A1" s="1" t="s">
        <v>7</v>
      </c>
      <c r="B1" s="1" t="s">
        <v>29</v>
      </c>
      <c r="C1" s="1" t="s">
        <v>97</v>
      </c>
      <c r="D1" s="1" t="s">
        <v>115</v>
      </c>
      <c r="E1" s="1" t="s">
        <v>116</v>
      </c>
      <c r="F1" s="1" t="s">
        <v>30</v>
      </c>
      <c r="G1" s="1" t="s">
        <v>91</v>
      </c>
      <c r="H1" s="1" t="s">
        <v>71</v>
      </c>
      <c r="I1" s="1" t="s">
        <v>72</v>
      </c>
      <c r="J1" s="1" t="s">
        <v>70</v>
      </c>
      <c r="K1" s="2" t="s">
        <v>15</v>
      </c>
      <c r="L1" s="2" t="s">
        <v>18</v>
      </c>
      <c r="M1" t="s">
        <v>23</v>
      </c>
    </row>
    <row r="2" spans="1:13" x14ac:dyDescent="0.35">
      <c r="A2" t="s">
        <v>25</v>
      </c>
      <c r="B2">
        <v>1</v>
      </c>
      <c r="C2">
        <v>1</v>
      </c>
      <c r="D2">
        <v>1</v>
      </c>
      <c r="E2">
        <v>1</v>
      </c>
      <c r="F2" t="s">
        <v>31</v>
      </c>
      <c r="G2" t="s">
        <v>92</v>
      </c>
      <c r="H2">
        <v>56.46152</v>
      </c>
      <c r="I2">
        <v>-3.1109200000000001</v>
      </c>
      <c r="J2">
        <v>38.9</v>
      </c>
      <c r="K2" s="3">
        <v>42371</v>
      </c>
      <c r="L2" s="3">
        <v>42373</v>
      </c>
      <c r="M2" s="3">
        <v>42373</v>
      </c>
    </row>
    <row r="3" spans="1:13" x14ac:dyDescent="0.35">
      <c r="A3" t="s">
        <v>25</v>
      </c>
      <c r="B3">
        <v>2</v>
      </c>
      <c r="C3">
        <v>1</v>
      </c>
      <c r="D3">
        <v>2</v>
      </c>
      <c r="E3">
        <v>1</v>
      </c>
      <c r="F3" t="s">
        <v>31</v>
      </c>
      <c r="G3" t="s">
        <v>95</v>
      </c>
      <c r="H3">
        <v>56.470471000000003</v>
      </c>
      <c r="I3">
        <v>-3.1227999999999998</v>
      </c>
      <c r="J3">
        <v>26.4</v>
      </c>
      <c r="K3" s="3">
        <v>42370</v>
      </c>
      <c r="L3" s="3">
        <v>42375</v>
      </c>
      <c r="M3" s="3">
        <v>42370</v>
      </c>
    </row>
    <row r="4" spans="1:13" x14ac:dyDescent="0.35">
      <c r="A4" t="s">
        <v>25</v>
      </c>
      <c r="B4">
        <v>1</v>
      </c>
      <c r="C4">
        <v>2</v>
      </c>
      <c r="D4">
        <v>3</v>
      </c>
      <c r="E4">
        <v>1</v>
      </c>
      <c r="F4" t="s">
        <v>32</v>
      </c>
      <c r="G4" t="s">
        <v>92</v>
      </c>
      <c r="H4">
        <v>56.465794000000002</v>
      </c>
      <c r="I4">
        <v>-3.12696</v>
      </c>
      <c r="J4">
        <v>98.1</v>
      </c>
      <c r="K4" s="3">
        <v>42377</v>
      </c>
      <c r="L4" s="3">
        <v>42372</v>
      </c>
      <c r="M4" s="3">
        <v>42377</v>
      </c>
    </row>
    <row r="5" spans="1:13" x14ac:dyDescent="0.35">
      <c r="A5" t="s">
        <v>25</v>
      </c>
      <c r="B5">
        <v>2</v>
      </c>
      <c r="C5">
        <v>1</v>
      </c>
      <c r="D5">
        <v>4</v>
      </c>
      <c r="E5">
        <v>1</v>
      </c>
      <c r="F5" t="s">
        <v>32</v>
      </c>
      <c r="G5" t="s">
        <v>95</v>
      </c>
      <c r="H5">
        <v>56.468415</v>
      </c>
      <c r="I5">
        <v>-3.1256499999999998</v>
      </c>
      <c r="J5">
        <v>76.5</v>
      </c>
      <c r="K5" s="3">
        <v>42378</v>
      </c>
      <c r="L5" s="3">
        <v>42377</v>
      </c>
      <c r="M5" s="3">
        <v>42374</v>
      </c>
    </row>
    <row r="6" spans="1:13" x14ac:dyDescent="0.35">
      <c r="A6" t="s">
        <v>26</v>
      </c>
      <c r="B6">
        <v>1</v>
      </c>
      <c r="C6">
        <v>1</v>
      </c>
      <c r="D6">
        <v>1</v>
      </c>
      <c r="E6">
        <v>2</v>
      </c>
      <c r="F6" t="s">
        <v>31</v>
      </c>
      <c r="G6" t="s">
        <v>92</v>
      </c>
      <c r="H6">
        <v>56.470269999999999</v>
      </c>
      <c r="I6">
        <v>-3.1406999999999998</v>
      </c>
      <c r="J6">
        <v>76.2</v>
      </c>
      <c r="K6" s="3">
        <v>42376</v>
      </c>
      <c r="L6" s="3"/>
      <c r="M6" s="3">
        <v>42373</v>
      </c>
    </row>
    <row r="7" spans="1:13" x14ac:dyDescent="0.35">
      <c r="A7" t="s">
        <v>26</v>
      </c>
      <c r="B7">
        <v>2</v>
      </c>
      <c r="C7">
        <v>2</v>
      </c>
      <c r="D7">
        <v>2</v>
      </c>
      <c r="E7">
        <v>2</v>
      </c>
      <c r="F7" t="s">
        <v>31</v>
      </c>
      <c r="G7" t="s">
        <v>95</v>
      </c>
      <c r="H7">
        <v>56.471969000000001</v>
      </c>
      <c r="I7">
        <v>-3.11985</v>
      </c>
      <c r="J7">
        <v>62.4</v>
      </c>
      <c r="K7" s="3">
        <v>42374</v>
      </c>
      <c r="L7" s="3"/>
      <c r="M7" s="3">
        <v>42375</v>
      </c>
    </row>
    <row r="8" spans="1:13" x14ac:dyDescent="0.35">
      <c r="A8" t="s">
        <v>26</v>
      </c>
      <c r="B8">
        <v>1</v>
      </c>
      <c r="C8">
        <v>1</v>
      </c>
      <c r="D8">
        <v>3</v>
      </c>
      <c r="E8">
        <v>2</v>
      </c>
      <c r="F8" t="s">
        <v>32</v>
      </c>
      <c r="G8" t="s">
        <v>92</v>
      </c>
      <c r="H8">
        <v>56.468760000000003</v>
      </c>
      <c r="I8">
        <v>-3.1153</v>
      </c>
      <c r="J8">
        <v>56.4</v>
      </c>
      <c r="K8" s="3">
        <v>42371</v>
      </c>
      <c r="L8" s="3">
        <v>42374</v>
      </c>
      <c r="M8" s="3">
        <v>42376</v>
      </c>
    </row>
    <row r="9" spans="1:13" x14ac:dyDescent="0.35">
      <c r="A9" t="s">
        <v>26</v>
      </c>
      <c r="B9">
        <v>2</v>
      </c>
      <c r="C9">
        <v>2</v>
      </c>
      <c r="D9">
        <v>4</v>
      </c>
      <c r="E9">
        <v>2</v>
      </c>
      <c r="F9" t="s">
        <v>32</v>
      </c>
      <c r="G9" t="s">
        <v>95</v>
      </c>
      <c r="H9">
        <v>56.467841999999997</v>
      </c>
      <c r="I9">
        <v>-3.1088</v>
      </c>
      <c r="J9">
        <v>68.900000000000006</v>
      </c>
      <c r="K9" s="3">
        <v>42379</v>
      </c>
      <c r="L9" s="3">
        <v>42376</v>
      </c>
      <c r="M9" s="3">
        <v>42373</v>
      </c>
    </row>
    <row r="10" spans="1:13" x14ac:dyDescent="0.35">
      <c r="A10" t="s">
        <v>27</v>
      </c>
      <c r="B10">
        <v>1</v>
      </c>
      <c r="C10">
        <v>1</v>
      </c>
      <c r="D10">
        <v>1</v>
      </c>
      <c r="E10">
        <v>3</v>
      </c>
      <c r="F10" t="s">
        <v>31</v>
      </c>
      <c r="G10" t="s">
        <v>92</v>
      </c>
      <c r="H10">
        <v>56.469270999999999</v>
      </c>
      <c r="I10">
        <v>-3.14317</v>
      </c>
      <c r="J10">
        <v>85.6</v>
      </c>
      <c r="K10" s="3">
        <v>42373</v>
      </c>
      <c r="L10" s="3">
        <v>42374</v>
      </c>
      <c r="M10" s="3">
        <v>42376</v>
      </c>
    </row>
    <row r="11" spans="1:13" x14ac:dyDescent="0.35">
      <c r="A11" t="s">
        <v>27</v>
      </c>
      <c r="B11">
        <v>2</v>
      </c>
      <c r="C11">
        <v>2</v>
      </c>
      <c r="D11">
        <v>2</v>
      </c>
      <c r="E11">
        <v>3</v>
      </c>
      <c r="F11" t="s">
        <v>31</v>
      </c>
      <c r="G11" t="s">
        <v>95</v>
      </c>
      <c r="H11">
        <v>56.472653000000001</v>
      </c>
      <c r="I11">
        <v>-3.1432699999999998</v>
      </c>
      <c r="J11">
        <v>23.6</v>
      </c>
      <c r="K11" s="3">
        <v>42379</v>
      </c>
      <c r="L11" s="3">
        <v>42376</v>
      </c>
      <c r="M11" s="3">
        <v>42374</v>
      </c>
    </row>
    <row r="12" spans="1:13" x14ac:dyDescent="0.35">
      <c r="A12" t="s">
        <v>27</v>
      </c>
      <c r="B12">
        <v>1</v>
      </c>
      <c r="C12">
        <v>1</v>
      </c>
      <c r="D12">
        <v>3</v>
      </c>
      <c r="E12">
        <v>3</v>
      </c>
      <c r="F12" t="s">
        <v>32</v>
      </c>
      <c r="G12" t="s">
        <v>92</v>
      </c>
      <c r="H12">
        <v>56.461801000000001</v>
      </c>
      <c r="I12">
        <v>-3.1385399999999999</v>
      </c>
      <c r="J12">
        <v>85.9</v>
      </c>
      <c r="K12" s="3"/>
      <c r="L12" s="3">
        <v>42370</v>
      </c>
      <c r="M12" s="3">
        <v>42372</v>
      </c>
    </row>
    <row r="13" spans="1:13" x14ac:dyDescent="0.35">
      <c r="K13" s="3"/>
      <c r="L13" s="3"/>
    </row>
    <row r="14" spans="1:13" x14ac:dyDescent="0.35">
      <c r="K14" s="3"/>
      <c r="L14" s="3"/>
      <c r="M14" s="3"/>
    </row>
    <row r="15" spans="1:13" x14ac:dyDescent="0.35">
      <c r="L15" s="3"/>
      <c r="M15" s="3"/>
    </row>
    <row r="16" spans="1:13" x14ac:dyDescent="0.35">
      <c r="L16" s="3"/>
      <c r="M16" s="3"/>
    </row>
    <row r="17" spans="11:13" x14ac:dyDescent="0.35">
      <c r="K17" s="3"/>
      <c r="L17" s="3"/>
    </row>
    <row r="18" spans="11:13" x14ac:dyDescent="0.35">
      <c r="L18" s="3"/>
      <c r="M18" s="3"/>
    </row>
    <row r="19" spans="11:13" x14ac:dyDescent="0.35">
      <c r="K19" s="3"/>
      <c r="M19" s="3"/>
    </row>
    <row r="20" spans="11:13" x14ac:dyDescent="0.35">
      <c r="L20" s="3"/>
    </row>
  </sheetData>
  <dataValidations count="1">
    <dataValidation allowBlank="1" showInputMessage="1" showErrorMessage="1" promptTitle="Please enter data here!" prompt="Same format as the &quot;DATA&quot; sheet, but this time the recording date goes into the matrix cells. Dates should be formatted according to the &quot;ACQDATE&quot; field of the MCPD." sqref="A1:J1" xr:uid="{00000000-0002-0000-0600-000000000000}"/>
  </dataValidations>
  <pageMargins left="0.7" right="0.7" top="0.75" bottom="0.75" header="0.3" footer="0.3"/>
  <pageSetup paperSize="9" orientation="portrait" horizontalDpi="90" verticalDpi="9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METADATA</vt:lpstr>
      <vt:lpstr>PHENOTYPES</vt:lpstr>
      <vt:lpstr>DATA</vt:lpstr>
      <vt:lpstr>RECORDING_DATES</vt:lpstr>
      <vt:lpstr>ATTRIBUTES</vt:lpstr>
      <vt:lpstr>COLLABORATORS</vt:lpstr>
      <vt:lpstr>LOCATION</vt:lpstr>
      <vt:lpstr>LOCATION_EXAMPLE</vt:lpstr>
      <vt:lpstr>PHENOTYPES_EXAMPLE</vt:lpstr>
      <vt:lpstr>DATA_EXAMPLE</vt:lpstr>
      <vt:lpstr>RECORDING_DATES_EXAMPLE</vt:lpstr>
    </vt:vector>
  </TitlesOfParts>
  <Company>The James Hutton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Shaw</dc:creator>
  <cp:lastModifiedBy>Agnes Aboagye</cp:lastModifiedBy>
  <dcterms:created xsi:type="dcterms:W3CDTF">2017-01-20T11:24:37Z</dcterms:created>
  <dcterms:modified xsi:type="dcterms:W3CDTF">2026-08-25T10:28:21Z</dcterms:modified>
  <cp:category>trials</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43d7210f-aef3-47c2-ae3d-1cef696a3600</vt:lpwstr>
  </property>
</Properties>
</file>