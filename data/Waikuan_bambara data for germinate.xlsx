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https://uniofnottm-my.sharepoint.com/personal/agnes_aboagye_nottingham_ac_uk/Documents/4th year/thesis Chapters/Chapter 5/Germinate database/"/>
    </mc:Choice>
  </mc:AlternateContent>
  <xr:revisionPtr revIDLastSave="230" documentId="13_ncr:1_{06FE2063-2CFE-4F7F-928D-A4F91A70908C}" xr6:coauthVersionLast="47" xr6:coauthVersionMax="47" xr10:uidLastSave="{BD0D5D16-81FC-4324-965B-6F6399B75AF2}"/>
  <bookViews>
    <workbookView xWindow="-110" yWindow="-110" windowWidth="19420" windowHeight="10300" xr2:uid="{00000000-000D-0000-FFFF-FFFF00000000}"/>
  </bookViews>
  <sheets>
    <sheet name="METADATA" sheetId="3" r:id="rId1"/>
    <sheet name="PHENOTYPES" sheetId="2" r:id="rId2"/>
    <sheet name="DATA" sheetId="6" r:id="rId3"/>
    <sheet name="RECORDING_DATES" sheetId="7" r:id="rId4"/>
    <sheet name="ATTRIBUTES" sheetId="11" r:id="rId5"/>
    <sheet name="COLLABORATORS" sheetId="9" r:id="rId6"/>
    <sheet name="LOCATION" sheetId="10" r:id="rId7"/>
    <sheet name="LOCATION_EXAMPLE" sheetId="12" r:id="rId8"/>
    <sheet name="PHENOTYPES_EXAMPLE" sheetId="5" r:id="rId9"/>
    <sheet name="DATA_EXAMPLE" sheetId="4" r:id="rId10"/>
    <sheet name="RECORDING_DATES_EXAMPLE"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<sst xmlns="http://schemas.openxmlformats.org/spreadsheetml/2006/main" count="607" uniqueCount="196">
  <si>
    <t>Name</t>
  </si>
  <si>
    <t>Short Name</t>
  </si>
  <si>
    <t>Description</t>
  </si>
  <si>
    <t>Data Type</t>
  </si>
  <si>
    <t>Contact</t>
  </si>
  <si>
    <t>Email</t>
  </si>
  <si>
    <t>Information</t>
  </si>
  <si>
    <t>Line/Phenotype</t>
  </si>
  <si>
    <t>Unit Abbreviation</t>
  </si>
  <si>
    <t>Unit Descriptions</t>
  </si>
  <si>
    <t>Unit Name</t>
  </si>
  <si>
    <t>Additional Information</t>
  </si>
  <si>
    <t>Help and Assistance</t>
  </si>
  <si>
    <t>Centimeters</t>
  </si>
  <si>
    <t>cm</t>
  </si>
  <si>
    <t>Ear length</t>
  </si>
  <si>
    <t>ELNG</t>
  </si>
  <si>
    <t>Measurement of ear length in centimeter.</t>
  </si>
  <si>
    <t>Ear number per plant</t>
  </si>
  <si>
    <t>REPP</t>
  </si>
  <si>
    <t>Number of ears head.</t>
  </si>
  <si>
    <t>Ears</t>
  </si>
  <si>
    <t>ears</t>
  </si>
  <si>
    <t>Ear width</t>
  </si>
  <si>
    <t>AMZ</t>
  </si>
  <si>
    <t>CACTUAR-1</t>
  </si>
  <si>
    <t>CACTUAR-2</t>
  </si>
  <si>
    <t>CACTUAR-3</t>
  </si>
  <si>
    <t>The "PHENOTYPES" sheet should contain a definition of the different phenotypic traits evaluated in your experiment. The "DATA" sheet should contain the phenotype values in a matrix format where the columns are the phenotype names and the rows are lines/germplasm names (ACCENUMB of the MCPD). Each cell should contain the phenotype value for the combination of phenotype and line/germplasm. Missing data should be represented by an empty cell (not NA or a dash). See the "DATA_EXAMPLE " sheet for an example. Also note, that we only deal with means, i.e. for each line/germplasm and phenotype there should only be one value. Replicates can be submitted across years by entereing them as different phenotype datasets. For example 'Phenotype Experiment 2016' and 'Phenotype Experiment 2017'.</t>
  </si>
  <si>
    <t>Rep</t>
  </si>
  <si>
    <t>Treatment</t>
  </si>
  <si>
    <t>Control</t>
  </si>
  <si>
    <t>Drought</t>
  </si>
  <si>
    <r>
      <t xml:space="preserve">If you have any queries or want to discuss your data or require assistance in filling in this template please contact us on </t>
    </r>
    <r>
      <rPr>
        <sz val="11"/>
        <color rgb="FFFF0000"/>
        <rFont val="Calibri"/>
        <family val="2"/>
        <scheme val="minor"/>
      </rPr>
      <t>germinate@hutton.ac.uk</t>
    </r>
  </si>
  <si>
    <t>LABEL</t>
  </si>
  <si>
    <t>DEFINITION</t>
  </si>
  <si>
    <t>Title</t>
  </si>
  <si>
    <t>Rights</t>
  </si>
  <si>
    <t>Date of creation</t>
  </si>
  <si>
    <t>Publisher</t>
  </si>
  <si>
    <t>An entity responsible for making the resource available. Examples of a Publisher include a person, an organization, or a service. Typically, the name of a Publisher should be used to indicate the entity.</t>
  </si>
  <si>
    <t>Format</t>
  </si>
  <si>
    <t>Language</t>
  </si>
  <si>
    <t>Source</t>
  </si>
  <si>
    <t>Type</t>
  </si>
  <si>
    <t>A name given to the resource. Typically, a Title will be a name by which the resource is formally known.</t>
  </si>
  <si>
    <t>An account of the resource. Description may include but is not limited to: an abstract, a table of contents, a graphical representation, or a free-text account of the resource.</t>
  </si>
  <si>
    <t>Information about rights held in and over the resource. Typically, rights information includes a statement about various property rights associated with the resource, including intellectual property rights.</t>
  </si>
  <si>
    <t>A point or period of time associated with an event in the lifecycle of the resource. Date may be used to express temporal information at any level of granularity. Recommended best practice is to use an encoding scheme, such as the W3CDTF profile of ISO 8601 [W3CDTF].</t>
  </si>
  <si>
    <t>The file format, physical medium, or dimensions of the resource. Examples of dimensions include size and duration. Recommended best practice is to use a controlled vocabulary such as the list of Internet Media Types [MIME].</t>
  </si>
  <si>
    <t>A language of the resource. Recommended best practice is to use a controlled vocabulary such as RFC 4646 [RFC4646].</t>
  </si>
  <si>
    <t>A related resource from which the described resource is derived. The described resource may be derived from the related resource in whole or in part. Recommended best practice is to identify the related resource by means of a string conforming to a formal identification system.</t>
  </si>
  <si>
    <t>The nature or genre of the resource. Recommended best practice is to use a controlled vocabulary such as the DCMI Type Vocabulary [DCMITYPE]. To describe the file format, physical medium, or dimensions of the resource, use the Format element.</t>
  </si>
  <si>
    <t>Subject</t>
  </si>
  <si>
    <t>The topic of the resource. Typically, the subject will be represented using keywords, key phrases, or classification codes. Recommended best practice is to use a controlled vocabulary.</t>
  </si>
  <si>
    <t>VALUE</t>
  </si>
  <si>
    <t>Last Name</t>
  </si>
  <si>
    <t>First Name</t>
  </si>
  <si>
    <t>Phone</t>
  </si>
  <si>
    <t>Contributor</t>
  </si>
  <si>
    <t>Address</t>
  </si>
  <si>
    <t>Last name (surname) of the author(s), researcher(s), scientist(s), student(s) responsible for producing the information product.</t>
  </si>
  <si>
    <t>First name (and middle name if available) of the author(s), researcher(s), scientist(s), student(s) responsible for producing the information product.</t>
  </si>
  <si>
    <t>E-mail address of the author(s), researcher(s), scientist(s), student(s) responsible for producing the information product.</t>
  </si>
  <si>
    <t>Phone number of the author(s), researcher(s), scientist(s), student(s) responsible for producing the information product.</t>
  </si>
  <si>
    <t>Author's affiliation when the resource was created.</t>
  </si>
  <si>
    <t>Address of institution of affiliation when the resource was created.</t>
  </si>
  <si>
    <t>The individual that can be contacted about this dataset.</t>
  </si>
  <si>
    <t>Short name</t>
  </si>
  <si>
    <t>Country</t>
  </si>
  <si>
    <t>Elevation</t>
  </si>
  <si>
    <t>Latitude</t>
  </si>
  <si>
    <t>Longitude</t>
  </si>
  <si>
    <t>The 2 letter country code of the institution (ISO 3166-1 alpha-2).</t>
  </si>
  <si>
    <t>Possible data types</t>
  </si>
  <si>
    <t>Trait categories (comma separated)</t>
  </si>
  <si>
    <t>categorical</t>
  </si>
  <si>
    <t>Min (only for numeric traits)</t>
  </si>
  <si>
    <t>Max (only for numeric traits)</t>
  </si>
  <si>
    <t>Growth type</t>
  </si>
  <si>
    <t>GT</t>
  </si>
  <si>
    <t>[["Erect", "Semi-erect", "Prostrate"]]</t>
  </si>
  <si>
    <t>Erect</t>
  </si>
  <si>
    <t>Prostrate</t>
  </si>
  <si>
    <t>Semi-erect</t>
  </si>
  <si>
    <t>numeric</t>
  </si>
  <si>
    <t>date</t>
  </si>
  <si>
    <t>text</t>
  </si>
  <si>
    <t>Attribute</t>
  </si>
  <si>
    <t>Value</t>
  </si>
  <si>
    <t>ValidTypes</t>
  </si>
  <si>
    <t>Location</t>
  </si>
  <si>
    <t>Site A</t>
  </si>
  <si>
    <t>A</t>
  </si>
  <si>
    <t>GB</t>
  </si>
  <si>
    <t>Site B</t>
  </si>
  <si>
    <t>B</t>
  </si>
  <si>
    <t>Block</t>
  </si>
  <si>
    <t>Investigation Title</t>
  </si>
  <si>
    <t>Human-readable string summarising the investigation.</t>
  </si>
  <si>
    <t>Investigation Description</t>
  </si>
  <si>
    <t>Human-readable text describing the investigation in more detail.</t>
  </si>
  <si>
    <t>Investigation unique ID</t>
  </si>
  <si>
    <t>Identifier comprising the unique name of the institution/database hosting the submission of the investigation data, and the accession number of the investigation in that institution.</t>
  </si>
  <si>
    <t>Associated data file link</t>
  </si>
  <si>
    <t>Link to the data file (or digital object) in a public database or in a persistent institutional repository; or identifier of the data file when submitted together with the MIAPPE submission.</t>
  </si>
  <si>
    <t>Associated data file description</t>
  </si>
  <si>
    <t>Description of the format of the data file. May be a standard file format name, or a description of organization of the data in a tabular file.</t>
  </si>
  <si>
    <t>Associated data file version</t>
  </si>
  <si>
    <t>The version of the dataset (the actual data).</t>
  </si>
  <si>
    <t>Contributor role</t>
  </si>
  <si>
    <t>Contributor ID</t>
  </si>
  <si>
    <t>Type of contribution of the person to the investigation (e.g. data submitter; author; corresponding author)</t>
  </si>
  <si>
    <t>An identifier for the data submitter. If that submitter is an individual, ORCID identifiers are recommended.</t>
  </si>
  <si>
    <t>Please include any additional information that details how this experiment was carried out in a text or Word document and send along with this template. If there are any images please send these as individual JPG files. Mandatory fields are highlighted in yellow.</t>
  </si>
  <si>
    <t>Row</t>
  </si>
  <si>
    <t>Column</t>
  </si>
  <si>
    <t>Phase II bambara evaluation</t>
  </si>
  <si>
    <t xml:space="preserve">estimated days to podding </t>
  </si>
  <si>
    <t>day of flowering</t>
  </si>
  <si>
    <t xml:space="preserve">days to 50% flowering </t>
  </si>
  <si>
    <t>internode length</t>
  </si>
  <si>
    <t>peduncle length</t>
  </si>
  <si>
    <t>petiole length</t>
  </si>
  <si>
    <t>plant spread</t>
  </si>
  <si>
    <t>plant height</t>
  </si>
  <si>
    <t>leaflet length</t>
  </si>
  <si>
    <t>leaflet width</t>
  </si>
  <si>
    <t>leaf area</t>
  </si>
  <si>
    <t>number of leaf</t>
  </si>
  <si>
    <t>stem number</t>
  </si>
  <si>
    <t>shoot dry weight</t>
  </si>
  <si>
    <t>shoot fresh weight</t>
  </si>
  <si>
    <t>dry biomass</t>
  </si>
  <si>
    <t>relative water content</t>
  </si>
  <si>
    <t>stomatal condutance</t>
  </si>
  <si>
    <t>carbon isotope discrimination</t>
  </si>
  <si>
    <t>stomatal density</t>
  </si>
  <si>
    <t>delta 15N</t>
  </si>
  <si>
    <t>seed number per plant</t>
  </si>
  <si>
    <t>total seed number per rep</t>
  </si>
  <si>
    <t>seed dry weight</t>
  </si>
  <si>
    <t>100 seed weight</t>
  </si>
  <si>
    <t>total seed dry weight per rep</t>
  </si>
  <si>
    <t>pod number per plant</t>
  </si>
  <si>
    <t>pod dry weight</t>
  </si>
  <si>
    <t>total pod dry weight pre rep</t>
  </si>
  <si>
    <t>pod fresh weight per plant</t>
  </si>
  <si>
    <t>total pod fresh weight</t>
  </si>
  <si>
    <t>day</t>
  </si>
  <si>
    <t>cm2</t>
  </si>
  <si>
    <t>g</t>
  </si>
  <si>
    <t>%</t>
  </si>
  <si>
    <t>IITA686</t>
  </si>
  <si>
    <t>bulk_20Acc118CIV_B_VsN65_108</t>
  </si>
  <si>
    <t>bulk_Nav4_VsN1_64</t>
  </si>
  <si>
    <t>Block_01</t>
  </si>
  <si>
    <t>Block_02</t>
  </si>
  <si>
    <t>Block_03</t>
  </si>
  <si>
    <t>Block_04</t>
  </si>
  <si>
    <t>Block_05</t>
  </si>
  <si>
    <t>FRC (CFF Field Research Centre)</t>
  </si>
  <si>
    <t>day of emergence</t>
  </si>
  <si>
    <t>MY</t>
  </si>
  <si>
    <t>Number of days from sowing to emergence of first fully expanded leaf</t>
  </si>
  <si>
    <t>Number of days from sowing until a plant reaches a defined flowering stage</t>
  </si>
  <si>
    <t>Number of days from sowing to the date when 50% of the plants exhibited at least one open flower</t>
  </si>
  <si>
    <t>Number of days from sowing to the date when the first pods became visibly detectable</t>
  </si>
  <si>
    <t>Measured of the linear distance between two consecutive nodes along the main stem and expressed in centimetres</t>
  </si>
  <si>
    <t>Measured of the distance from the uppermost node of the stem to the base of the inflorescence</t>
  </si>
  <si>
    <t>Measured of the distance from the point of attachment of the leaf to the stem to the base of the leaf blade and expressed in centimetres</t>
  </si>
  <si>
    <t>Measured of the maximum horizontal distance between the outermost edges of the plant canopy and expressed in centimetres</t>
  </si>
  <si>
    <t xml:space="preserve">Measured of the linear distance from the point of attachment of the leaflet to the petiole to the apex of the leaflet </t>
  </si>
  <si>
    <t xml:space="preserve">Measured of the vertical distance from the soil surface at the base of the plant to the tip of the tallest stem, panicle, or inflorescence at maturity </t>
  </si>
  <si>
    <t>Measured of the maximum width of an individual leaflet at its broadest point, perpendicular to the midrib</t>
  </si>
  <si>
    <t xml:space="preserve">Measured of the total one-sided surface area of a fully expanded leaf </t>
  </si>
  <si>
    <t>The total number of fully expanded and healthy leaves present on an individual plant at the time of assessment</t>
  </si>
  <si>
    <t>The total count of primary stems emerging from the base of an individual plant at the time of assessment</t>
  </si>
  <si>
    <t>The  measure of the  dry mass of the above-ground portions of a plant, including stems, leaves, and other aerial tissues, after drying to a constant weight.</t>
  </si>
  <si>
    <t>The measure of the weight of the above-ground portions of a plant, including stems, leaves, and other aerial tissues, measured immediately after harvest before drying.</t>
  </si>
  <si>
    <t>The total mass of plant material remaining after all water has been removed from the tissues through drying, representing the actual accumulated organic matter of the plant.</t>
  </si>
  <si>
    <t>The measure of the water status of plant tissues, expressed as the percentage of water present in a tissue relative to the maximum amount of water it can hold at full turgidity.</t>
  </si>
  <si>
    <t>The rate at which carbon dioxide enters and water vapour exits a leaf through the stomata, reflecting the degree of stomatal opening and the plant's regulation of gas exchange.</t>
  </si>
  <si>
    <t>The measure of the preferential uptake of the lighter carbon isotope (^12C) over the heavier isotope (^13C) during photosynthesis. It is commonly used as an indirect indicator of water-use efficiency in plants.</t>
  </si>
  <si>
    <t>The number of stomata present per unit area of the leaf surface.</t>
  </si>
  <si>
    <t>The relative abundance of the stable nitrogen isotope ¹⁵N compared with ¹⁴N in a plant or soil sample, expressed relative to an international standard</t>
  </si>
  <si>
    <t>The total number of seeds produced by an individual plant at harvest</t>
  </si>
  <si>
    <t>Total Seed Number per Replication (TSNR) is the total number of seeds produced by all plants within a single experimental replication (replicate) or plot</t>
  </si>
  <si>
    <t>The mass of seeds after drying to a constant weight represents the amount of dry matter accumulated in the seeds</t>
  </si>
  <si>
    <t>The weight of one hundred mature, dried seeds and is commonly used as an indicator of seed size and seed filling</t>
  </si>
  <si>
    <t>Total Seed Dry Weight per Replication is the combined dry weight of all seeds harvested from a single experimental replication (plot) after drying to a constant weight.</t>
  </si>
  <si>
    <t>Pod Number per Plant is the total number of mature pods produced by an individual plant at harvest</t>
  </si>
  <si>
    <t>The mass of pods after drying to a constant weight represents the amount of dry matter accumulated in the pod tissues.</t>
  </si>
  <si>
    <t>The combined dry weight of all pods harvested from a single experimental replication (plot) after drying to a constant weight</t>
  </si>
  <si>
    <t>The total weight of all pods harvested from an individual plant immediately after harvest, before any drying treatment.</t>
  </si>
  <si>
    <t>The combined weight of all pods harvested from a specified experimental unit measured immediately after harvest before drying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</si>
</sst>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0" x14ac:knownFonts="1">
    <font>
      <sz val="11"/>
      <color theme="1"/>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sz val="8"/>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tint="0.79998168889431442"/>
        <bgColor indexed="64"/>
      </patternFill>
    </fill>
  </fills>
  <borders count="1">
    <border>
      <left/>
      <right/>
      <top/>
      <bottom/>
      <diagonal/>
    </border>
  </borders>
  <cellStyleXfs count="4">
    <xf numFmtId="0" fontId="0" fillId="0" borderId="0"/>
    <xf numFmtId="0" fontId="3" fillId="0" borderId="0"/>
    <xf numFmtId="0" fontId="4" fillId="0" borderId="0" applyNumberFormat="0" applyFill="0" applyBorder="0" applyAlignment="0" applyProtection="0"/>
    <xf numFmtId="0" fontId="2" fillId="0" borderId="0" applyNumberFormat="0" applyFill="0" applyBorder="0" applyAlignment="0" applyProtection="0"/>
  </cellStyleXfs>
  <cellXfs count="27">
    <xf numFmtId="0" fontId="0" fillId="0" borderId="0" xfId="0"/>
    <xf numFmtId="0" fontId="1" fillId="0" borderId="0" xfId="0" applyFont="1" applyAlignment="1">
      <alignment horizontal="left"/>
    </xf>
    <xf numFmtId="0" fontId="1" fillId="0" borderId="0" xfId="0" applyFont="1" applyAlignment="1">
      <alignment horizontal="center"/>
    </xf>
    <xf numFmtId="164" fontId="0" fillId="0" borderId="0" xfId="0" applyNumberFormat="1"/>
    <xf numFmtId="0" fontId="4" fillId="0" borderId="0" xfId="2" applyAlignment="1">
      <alignment vertical="top" wrapText="1"/>
    </xf>
    <xf numFmtId="0" fontId="5" fillId="0" borderId="0" xfId="0" applyFont="1"/>
    <xf numFmtId="0" fontId="5"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5" fillId="2" borderId="0" xfId="0" applyFont="1" applyFill="1" applyAlignment="1">
      <alignment vertical="top" wrapText="1"/>
    </xf>
    <xf numFmtId="0" fontId="7" fillId="0" borderId="0" xfId="0" applyFont="1"/>
    <xf numFmtId="0" fontId="5" fillId="4" borderId="0" xfId="0" applyFont="1" applyFill="1" applyAlignment="1">
      <alignment wrapText="1"/>
    </xf>
    <xf numFmtId="0" fontId="6" fillId="3" borderId="0" xfId="0" applyFont="1" applyFill="1" applyAlignment="1">
      <alignment vertical="top"/>
    </xf>
    <xf numFmtId="0" fontId="5" fillId="3" borderId="0" xfId="0" applyFont="1" applyFill="1" applyAlignment="1">
      <alignment wrapText="1"/>
    </xf>
    <xf numFmtId="49" fontId="5" fillId="0" borderId="0" xfId="0" applyNumberFormat="1" applyFont="1" applyAlignment="1">
      <alignment vertical="top" wrapText="1"/>
    </xf>
    <xf numFmtId="0" fontId="8" fillId="0" borderId="0" xfId="0" applyFont="1" applyAlignment="1">
      <alignment vertical="top" wrapText="1"/>
    </xf>
    <xf numFmtId="49" fontId="8" fillId="0" borderId="0" xfId="0" applyNumberFormat="1" applyFont="1" applyAlignment="1">
      <alignment vertical="top" wrapText="1"/>
    </xf>
    <xf numFmtId="0" fontId="8" fillId="0" borderId="0" xfId="0" applyFont="1"/>
    <xf numFmtId="49" fontId="8" fillId="0" borderId="0" xfId="0" applyNumberFormat="1" applyFont="1"/>
    <xf numFmtId="0" fontId="0" fillId="0" borderId="0" xfId="0" applyAlignment="1">
      <alignment vertical="top" wrapText="1"/>
    </xf>
    <xf numFmtId="0" fontId="2" fillId="0" borderId="0" xfId="3" applyAlignment="1">
      <alignment vertical="top"/>
    </xf>
    <xf numFmtId="0" fontId="2" fillId="0" borderId="0" xfId="3"/>
    <xf numFmtId="0" fontId="2" fillId="0" borderId="0" xfId="3" applyAlignment="1">
      <alignment horizontal="left"/>
    </xf>
    <xf numFmtId="0" fontId="0" fillId="0" borderId="0" xfId="0" applyAlignment="1">
      <alignment vertical="top"/>
    </xf>
    <xf numFmtId="0" fontId="0" fillId="0" borderId="0" xfId="2" applyFont="1" applyAlignment="1">
      <alignment vertical="top" wrapText="1"/>
    </xf>
    <xf numFmtId="0" fontId="1" fillId="4" borderId="0" xfId="0" applyFont="1" applyFill="1" applyAlignment="1">
      <alignment vertical="top"/>
    </xf>
    <xf numFmtId="0" fontId="5" fillId="5" borderId="0" xfId="0" applyFont="1" applyFill="1" applyAlignment="1">
      <alignment vertical="top" wrapText="1"/>
    </xf>
  </cellXfs>
  <cellStyles count="4">
    <cellStyle name="Hyperlink" xfId="2" builtinId="8"/>
    <cellStyle name="Normal" xfId="0" builtinId="0"/>
    <cellStyle name="Normal 4" xfId="1" xr:uid="{AC6FD0CA-C916-4E1F-8927-7A9CF5AB4487}"/>
    <cellStyle name="Warning Text" xfId="3" builtinId="11"/>
  </cellStyles>
  <dxfs count="27">
    <dxf>
      <fill>
        <patternFill>
          <bgColor theme="7" tint="0.79998168889431442"/>
        </patternFill>
      </fill>
    </dxf>
    <dxf>
      <fill>
        <patternFill>
          <bgColor theme="7" tint="0.79998168889431442"/>
        </patternFill>
      </fill>
    </dxf>
    <dxf>
      <fill>
        <patternFill>
          <bgColor theme="7" tint="0.79998168889431442"/>
        </patternFill>
      </fill>
    </dxf>
    <dxf>
      <numFmt numFmtId="164" formatCode="yyyymmdd"/>
    </dxf>
    <dxf>
      <numFmt numFmtId="164" formatCode="yyyymmdd"/>
    </dxf>
    <dxf>
      <numFmt numFmtId="164" formatCode="yyyymmdd"/>
    </dxf>
    <dxf>
      <numFmt numFmtId="0" formatCode="General"/>
    </dxf>
    <dxf>
      <numFmt numFmtId="0" formatCode="General"/>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6"/>
      <tableStyleElement type="headerRow"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FAA9A6-0123-422D-B80F-81EB2270DAA0}" name="Table7" displayName="Table7" ref="A1:C18" totalsRowShown="0" headerRowDxfId="24" dataDxfId="23">
  <autoFilter ref="A1:C18" xr:uid="{DCA4608A-E2D9-45F1-81E3-F49396F38526}"/>
  <tableColumns count="3">
    <tableColumn id="1" xr3:uid="{1E03C996-7263-422B-8AA0-13669C78161F}" name="LABEL" dataDxfId="22"/>
    <tableColumn id="2" xr3:uid="{A20F043F-90CD-41BB-866B-522B95F3EC18}" name="DEFINITION" dataDxfId="21"/>
    <tableColumn id="3" xr3:uid="{139364FF-5D24-40BF-A84C-CF209A3E5D65}" name="VALUE"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F6150C-EB7C-4511-B47B-2F8122570053}" name="Table136" displayName="Table136" ref="A1:J33" totalsRowShown="0">
  <autoFilter ref="A1:J33" xr:uid="{4E670C69-5459-4D42-BBD4-1C0FE57A115B}"/>
  <tableColumns count="10">
    <tableColumn id="1" xr3:uid="{7A9D9CB2-5A72-4610-AB48-E51B9D320089}" name="Name"/>
    <tableColumn id="2" xr3:uid="{E96E90FF-566D-4FFD-82F1-51DBFC5414D9}" name="Short Name"/>
    <tableColumn id="3" xr3:uid="{40088974-32A7-4DF8-B510-4933C37FC25F}" name="Description"/>
    <tableColumn id="4" xr3:uid="{DAD80930-1355-4EB6-A264-410F67F077B5}" name="Data Type"/>
    <tableColumn id="5" xr3:uid="{9C022EC0-8F41-444A-B3C7-1C5FF976B81F}" name="Unit Name"/>
    <tableColumn id="6" xr3:uid="{683EBBF5-4181-4261-8301-D1B5F7B45877}" name="Unit Abbreviation"/>
    <tableColumn id="7" xr3:uid="{DE7BC6FF-1EF8-438D-BCE4-16C83D0CB188}" name="Unit Descriptions"/>
    <tableColumn id="8" xr3:uid="{F0A8842E-035A-489D-85ED-9A856618A31C}" name="Trait categories (comma separated)"/>
    <tableColumn id="9" xr3:uid="{33440BAE-1141-4F5B-9E00-4E91B738E873}" name="Min (only for numeric traits)"/>
    <tableColumn id="10" xr3:uid="{3BB72CFF-4CE5-48BF-899E-D8A314EEB697}" name="Max (only for numeric trai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E566EA-CF41-4BD4-A877-BF1A04CBE27C}" name="Table47" displayName="Table47" ref="A1:AC91" totalsRowShown="0">
  <autoFilter ref="A1:AC91" xr:uid="{C24E8378-3794-454E-84CF-B08C2B5A27D2}"/>
  <tableColumns count="29">
    <tableColumn id="1" xr3:uid="{CCD80E05-5388-423E-BBDC-2354AB7B8FC3}" name="Line/Phenotype"/>
    <tableColumn id="2" xr3:uid="{466AEB02-1AD0-430A-B6D8-FF71A9F751B4}" name="Rep"/>
    <tableColumn id="8" xr3:uid="{B32A4B56-1C05-4F7B-B51B-4FA3967354E2}" name="Block"/>
    <tableColumn id="9" xr3:uid="{2ED92832-AD7D-4A22-8917-F561E101C555}" name="Row"/>
    <tableColumn id="10" xr3:uid="{61C248C8-9EF3-432C-BE20-51527617EB5B}" name="Column"/>
    <tableColumn id="7" xr3:uid="{40C0F606-B99C-4595-806C-A7295CC796D9}" name="Treatment"/>
    <tableColumn id="3" xr3:uid="{8EE9A1A1-AEF3-490F-B2E4-D6A460210A54}" name="Location"/>
    <tableColumn id="4" xr3:uid="{69C9CE63-BD11-4E4B-957D-A99D3AA2F63C}" name="Latitude"/>
    <tableColumn id="5" xr3:uid="{67FFEBA5-AD32-417A-987A-2C040AA24764}" name="Longitude"/>
    <tableColumn id="6" xr3:uid="{D986DFA6-2CBB-40DF-84E8-21CC5C183E1E}" name="Elevation"/>
    <tableColumn id="11" xr3:uid="{830208B2-30F9-49A5-B977-5DF683CEA08D}" name="day of emergence"/>
    <tableColumn id="12" xr3:uid="{DF217D15-7447-4D91-B260-137E5BAB53D7}" name="day of flowering"/>
    <tableColumn id="13" xr3:uid="{9BF05A34-BFAD-408E-9782-BD4EB4B3D21A}" name="number of leaf"/>
    <tableColumn id="14" xr3:uid="{829F5A6C-3ACA-4E72-8A9B-F7E9276AFD1F}" name="plant spread"/>
    <tableColumn id="15" xr3:uid="{9A474A63-E836-432A-8ED2-6F1BA196EA82}" name="leaflet length"/>
    <tableColumn id="16" xr3:uid="{C7DFBC32-38E2-4EDD-8FB2-BD0A906E846F}" name="leaflet width"/>
    <tableColumn id="17" xr3:uid="{32E5A62D-7904-423C-92DF-DA769584A75A}" name="plant height"/>
    <tableColumn id="18" xr3:uid="{D7305041-0B9D-4C68-A9D4-129D08CD08C3}" name="internode length"/>
    <tableColumn id="19" xr3:uid="{B5061A0D-8B6C-4766-8E0D-B9446E5B8428}" name="petiole length"/>
    <tableColumn id="20" xr3:uid="{2F056B46-B1D1-446A-A873-10C69BCC51BA}" name="peduncle length"/>
    <tableColumn id="21" xr3:uid="{B1F6D7DD-17FF-4F97-B6DC-1044E2CFA812}" name="stem number"/>
    <tableColumn id="22" xr3:uid="{4D28A72D-BF90-4641-95ED-3AB769B7C0A4}" name="shoot fresh weight"/>
    <tableColumn id="23" xr3:uid="{A4C9F890-C787-4BDB-B5A7-89CD1967FF32}" name="dry biomass"/>
    <tableColumn id="24" xr3:uid="{DC115C9C-FAB6-4B2C-9705-BA8A03868587}" name="pod fresh weight per plant"/>
    <tableColumn id="25" xr3:uid="{B5F0709E-6154-4B77-9B24-2BABB8BC613B}" name="seed dry weight"/>
    <tableColumn id="26" xr3:uid="{83B4D25C-1E8F-4513-A7E9-CC726A003D6C}" name="total pod fresh weight"/>
    <tableColumn id="27" xr3:uid="{19754F4D-295B-43C6-9610-B35AFA6E023B}" name="total pod dry weight pre rep"/>
    <tableColumn id="28" xr3:uid="{CD9059EB-4159-4EE7-8144-D67A178050FB}" name="total seed dry weight per rep"/>
    <tableColumn id="29" xr3:uid="{05551EED-031C-49C1-A752-2A52E82ADDBF}" name="total seed number per rep"/>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E9D794-B34F-44CE-84F6-AA0D14CDB5C6}" name="Table4411" displayName="Table4411" ref="A1:J4" totalsRowShown="0">
  <autoFilter ref="A1:J4" xr:uid="{7A5E0959-3CB3-48DB-A1FB-2A58B80F3191}"/>
  <tableColumns count="10">
    <tableColumn id="1" xr3:uid="{4C72BB57-561C-4C97-9A88-82A2D428A82A}" name="Line/Phenotype"/>
    <tableColumn id="7" xr3:uid="{D9EE74B9-83DA-4C06-B461-5A4F7DC2FD15}" name="Rep"/>
    <tableColumn id="4" xr3:uid="{57727AAB-E4BF-42AD-962C-0DBC24A599A0}" name="Block"/>
    <tableColumn id="9" xr3:uid="{01A0EDA9-30E9-4526-A528-8A71ADD7B449}" name="Row"/>
    <tableColumn id="10" xr3:uid="{C40DC8EF-6D3A-43F0-B3FC-4A7CF45DCFE4}" name="Column"/>
    <tableColumn id="2" xr3:uid="{233E7CDA-E23F-4F59-95B7-C14E55E139E2}" name="Treatment"/>
    <tableColumn id="3" xr3:uid="{9976F5CF-934C-4F0C-8E8C-314FBD437428}" name="Location"/>
    <tableColumn id="5" xr3:uid="{2F3B018F-D870-41DE-A4AF-30757F61E6A4}" name="Latitude"/>
    <tableColumn id="6" xr3:uid="{8AFBB6FA-5BB0-4119-9890-AECAE760BE7C}" name="Longitude"/>
    <tableColumn id="8" xr3:uid="{5C5F4AEC-9A07-4522-92E5-02F8A657C494}" name="Elev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17974-7B97-4C3B-BA5A-15C9DF6B5915}" name="Table1" displayName="Table1" ref="A1:C2" insertRow="1" totalsRowShown="0">
  <autoFilter ref="A1:C2" xr:uid="{AFAF2A04-D11A-4761-ABA6-DA7D533456A3}"/>
  <tableColumns count="3">
    <tableColumn id="1" xr3:uid="{6687827E-20FF-44CC-820C-7FCA95E05637}" name="Attribute"/>
    <tableColumn id="3" xr3:uid="{E9386995-F6BE-45FD-B47F-6F50A0356B8E}" name="Type"/>
    <tableColumn id="2" xr3:uid="{9A9860D2-E2EF-4AF1-AF01-F935BF554D92}"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BDF020-ABCA-4439-B958-8014090B32CC}" name="Table8" displayName="Table8" ref="A1:I2" totalsRowShown="0" headerRowDxfId="19" dataDxfId="18">
  <autoFilter ref="A1:I2" xr:uid="{1B38FBA2-DC2A-4EE8-9782-869C402F129F}"/>
  <tableColumns count="9">
    <tableColumn id="2" xr3:uid="{11A585B5-EAF2-4086-9D85-0D60A53887C4}" name="Last Name" dataDxfId="17"/>
    <tableColumn id="3" xr3:uid="{4077ACA3-84ED-4981-AB4E-365AEBA76825}" name="First Name" dataDxfId="16"/>
    <tableColumn id="9" xr3:uid="{B35B0A33-6132-493B-9131-6BA92C731A13}" name="Contributor role" dataDxfId="15"/>
    <tableColumn id="6" xr3:uid="{901F3798-43D3-40F0-8C23-0793303EE87C}" name="Contributor ID" dataDxfId="14"/>
    <tableColumn id="4" xr3:uid="{0A90BD52-57A6-4CDE-BA8E-5136E8A1EAB8}" name="Email" dataDxfId="13"/>
    <tableColumn id="5" xr3:uid="{03F1C9C1-7B2C-4F0C-B099-1F465D301B93}" name="Phone" dataDxfId="12"/>
    <tableColumn id="7" xr3:uid="{65BCBC93-FC74-4E14-B6A5-BF465AB5D91D}" name="Contributor" dataDxfId="11"/>
    <tableColumn id="8" xr3:uid="{5C332E95-780E-414E-B1E2-86318BE35F31}" name="Address" dataDxfId="10"/>
    <tableColumn id="1" xr3:uid="{9A8DCFA6-0AF2-4BA7-95EB-E0D0FE3A6153}" name="Country" dataDxf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BDA44A-CD87-4E45-AED3-C04513F7E914}" name="Table9" displayName="Table9" ref="A1:F2" totalsRowShown="0">
  <autoFilter ref="A1:F2" xr:uid="{F62B6A96-E1F2-40B5-8B32-4E4F94F6494A}"/>
  <tableColumns count="6">
    <tableColumn id="1" xr3:uid="{8A8F49BB-5B5C-4DA6-BCFF-0458FF526B9E}" name="Name"/>
    <tableColumn id="2" xr3:uid="{5863ACB9-3750-47DF-B55F-40C0B119E7E4}" name="Short name"/>
    <tableColumn id="3" xr3:uid="{C3E73087-AAA0-4C32-A529-1FB205F5DCCE}" name="Country"/>
    <tableColumn id="4" xr3:uid="{ECF010CE-69C0-49B6-84B9-F22057CDAFB0}" name="Elevation"/>
    <tableColumn id="5" xr3:uid="{A7D62594-421F-420D-AF72-E3320E9B4E38}" name="Latitude"/>
    <tableColumn id="6" xr3:uid="{1F86E5D8-33FD-45F7-87AD-13D2B6EDCA41}" name="Longitu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86F7D8-1BF5-4BEE-B3C7-5B05DC94F35F}" name="Table912" displayName="Table912" ref="A1:F3" totalsRowShown="0">
  <autoFilter ref="A1:F3" xr:uid="{AF4606A7-A239-4229-872E-C0E19378E716}"/>
  <tableColumns count="6">
    <tableColumn id="1" xr3:uid="{0816BB14-4B0A-42A6-A418-DEF17CE64119}" name="Name"/>
    <tableColumn id="2" xr3:uid="{8CAB4FE7-3F5A-40C9-A4AD-D8A83C4DAE63}" name="Short name"/>
    <tableColumn id="3" xr3:uid="{8207682A-53B0-41B5-9E58-08B178587DB2}" name="Country"/>
    <tableColumn id="4" xr3:uid="{8EE06D1F-C91E-4B52-B65C-73E4021B3BA2}" name="Elevation"/>
    <tableColumn id="5" xr3:uid="{46BED72F-DD99-423F-BBBF-C7582566C178}" name="Latitude"/>
    <tableColumn id="6" xr3:uid="{625E57C8-CC0D-4812-91EC-5E30BDF78D26}" name="Longitu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J5" totalsRowShown="0">
  <autoFilter ref="A1:J5" xr:uid="{00000000-0009-0000-0100-000002000000}"/>
  <tableColumns count="10">
    <tableColumn id="1" xr3:uid="{00000000-0010-0000-0100-000001000000}" name="Name"/>
    <tableColumn id="2" xr3:uid="{00000000-0010-0000-0100-000002000000}" name="Short Name"/>
    <tableColumn id="3" xr3:uid="{00000000-0010-0000-0100-000003000000}" name="Description"/>
    <tableColumn id="4" xr3:uid="{00000000-0010-0000-0100-000004000000}" name="Data Type"/>
    <tableColumn id="5" xr3:uid="{00000000-0010-0000-0100-000005000000}" name="Unit Name"/>
    <tableColumn id="6" xr3:uid="{00000000-0010-0000-0100-000006000000}" name="Unit Abbreviation"/>
    <tableColumn id="7" xr3:uid="{00000000-0010-0000-0100-000007000000}" name="Unit Descriptions"/>
    <tableColumn id="8" xr3:uid="{4373A1C3-2A30-43A1-B715-28F976E1B901}" name="Trait categories (comma separated)"/>
    <tableColumn id="9" xr3:uid="{1140C57E-8F80-4173-B9E2-20FEA5F07CF8}" name="Min (only for numeric traits)"/>
    <tableColumn id="10" xr3:uid="{313A800B-A94E-4585-938C-59EE11C83AE8}" name="Max (only for numeric trai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12" totalsRowShown="0">
  <autoFilter ref="A1:N12" xr:uid="{00000000-0009-0000-0100-000004000000}"/>
  <tableColumns count="14">
    <tableColumn id="1" xr3:uid="{00000000-0010-0000-0200-000001000000}" name="Line/Phenotype"/>
    <tableColumn id="2" xr3:uid="{CB956365-108C-47D3-B28E-EBDFD6E16995}" name="Rep"/>
    <tableColumn id="9" xr3:uid="{8C52E70E-74F2-424A-8F55-980BEB83541C}" name="Block"/>
    <tableColumn id="13" xr3:uid="{20544D5A-2E37-40C0-8903-7DFE8E1801E4}" name="Row"/>
    <tableColumn id="14" xr3:uid="{CE255CEA-3127-418C-9432-3F63F51FD781}" name="Column"/>
    <tableColumn id="7" xr3:uid="{88B30358-C3FE-4E11-B08D-42FB21CD6479}" name="Treatment"/>
    <tableColumn id="8" xr3:uid="{13CC7C54-6C19-41EF-BA0D-75E84678E993}" name="Location"/>
    <tableColumn id="10" xr3:uid="{4DB6F789-093F-4C73-B982-C2E54070E165}" name="Latitude" dataDxfId="8"/>
    <tableColumn id="11" xr3:uid="{7DF6B222-3988-4F46-991B-F6C2F213B41D}" name="Longitude" dataDxfId="7"/>
    <tableColumn id="12" xr3:uid="{55ED41BA-9315-4A55-B989-C3614B9C3340}" name="Elevation" dataDxfId="6"/>
    <tableColumn id="3" xr3:uid="{00000000-0010-0000-0200-000003000000}" name="Ear length"/>
    <tableColumn id="4" xr3:uid="{00000000-0010-0000-0200-000004000000}" name="Ear number per plant"/>
    <tableColumn id="6" xr3:uid="{00000000-0010-0000-0200-000006000000}" name="Ear width"/>
    <tableColumn id="5" xr3:uid="{94FDE0E0-F1A3-40A4-A9F2-94E991F88AD7}" name="Growth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4" displayName="Table44" ref="A1:M12" totalsRowShown="0">
  <autoFilter ref="A1:M12" xr:uid="{00000000-0009-0000-0100-000003000000}"/>
  <tableColumns count="13">
    <tableColumn id="1" xr3:uid="{00000000-0010-0000-0300-000001000000}" name="Line/Phenotype"/>
    <tableColumn id="7" xr3:uid="{F56FA6B6-097B-4A91-BE3C-84316559494C}" name="Rep"/>
    <tableColumn id="8" xr3:uid="{B1199833-CBFA-4386-8BC3-8225F4549F7B}" name="Block"/>
    <tableColumn id="13" xr3:uid="{441254E5-D6C5-45FE-B862-378E41EA89AB}" name="Row"/>
    <tableColumn id="12" xr3:uid="{2C43E794-883F-4CC3-86B1-A954A5AD1894}" name="Column"/>
    <tableColumn id="2" xr3:uid="{372B6450-E223-4B62-BE37-A66868D227D6}" name="Treatment"/>
    <tableColumn id="5" xr3:uid="{5F0A8F5E-5F8D-498B-AA15-759C67F77D36}" name="Location"/>
    <tableColumn id="11" xr3:uid="{907497DD-05CD-436D-8F9D-C9733135B6D1}" name="Latitude"/>
    <tableColumn id="10" xr3:uid="{F68843F4-17C8-471E-8FEA-8A1CF9BD7F9F}" name="Longitude"/>
    <tableColumn id="9" xr3:uid="{97B62C49-64CB-4474-93B9-41298499FF28}" name="Elevation"/>
    <tableColumn id="3" xr3:uid="{00000000-0010-0000-0300-000003000000}" name="Ear length" dataDxfId="5"/>
    <tableColumn id="4" xr3:uid="{00000000-0010-0000-0300-000004000000}" name="Ear number per plant" dataDxfId="4"/>
    <tableColumn id="6" xr3:uid="{00000000-0010-0000-0300-000006000000}" name="Ear width"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abSelected="1" zoomScale="106" zoomScaleNormal="106" workbookViewId="0">
      <selection activeCell="C2" sqref="C2"/>
    </sheetView>
  </sheetViews>
  <sheetFormatPr defaultColWidth="9.1796875" defaultRowHeight="14.5" x14ac:dyDescent="0.35"/>
  <cols>
    <col min="1" max="1" width="22.7265625" style="5" bestFit="1" customWidth="1"/>
    <col min="2" max="2" width="70.453125" style="5" customWidth="1"/>
    <col min="3" max="3" width="108.26953125" style="5" customWidth="1"/>
    <col min="4" max="4" width="9.1796875" style="5"/>
    <col min="5" max="5" width="13.453125" style="5" customWidth="1"/>
    <col min="6" max="6" width="15.1796875" style="5" customWidth="1"/>
    <col min="7" max="16384" width="9.1796875" style="5"/>
  </cols>
  <sheetData>
    <row r="1" spans="1:3" x14ac:dyDescent="0.35">
      <c r="A1" s="5" t="s">
        <v>34</v>
      </c>
      <c r="B1" s="5" t="s">
        <v>35</v>
      </c>
      <c r="C1" s="5" t="s">
        <v>55</v>
      </c>
    </row>
    <row r="2" spans="1:3" ht="29" x14ac:dyDescent="0.35">
      <c r="A2" s="20" t="s">
        <v>36</v>
      </c>
      <c r="B2" s="7" t="s">
        <v>45</v>
      </c>
      <c r="C2" s="26" t="s">
        <v>117</v>
      </c>
    </row>
    <row r="3" spans="1:3" ht="43.5" x14ac:dyDescent="0.35">
      <c r="A3" s="20" t="s">
        <v>2</v>
      </c>
      <c r="B3" s="7" t="s">
        <v>46</v>
      </c>
      <c r="C3" s="26" t="s">
        <v>117</v>
      </c>
    </row>
    <row r="4" spans="1:3" ht="43.5" x14ac:dyDescent="0.35">
      <c r="A4" s="6" t="s">
        <v>37</v>
      </c>
      <c r="B4" s="7" t="s">
        <v>47</v>
      </c>
      <c r="C4" s="7"/>
    </row>
    <row r="5" spans="1:3" ht="58" x14ac:dyDescent="0.35">
      <c r="A5" s="6" t="s">
        <v>38</v>
      </c>
      <c r="B5" s="7" t="s">
        <v>48</v>
      </c>
      <c r="C5" s="14"/>
    </row>
    <row r="6" spans="1:3" ht="43.5" x14ac:dyDescent="0.35">
      <c r="A6" s="6" t="s">
        <v>39</v>
      </c>
      <c r="B6" s="7" t="s">
        <v>40</v>
      </c>
      <c r="C6" s="7"/>
    </row>
    <row r="7" spans="1:3" ht="43.5" x14ac:dyDescent="0.35">
      <c r="A7" s="6" t="s">
        <v>41</v>
      </c>
      <c r="B7" s="7" t="s">
        <v>49</v>
      </c>
      <c r="C7" s="7"/>
    </row>
    <row r="8" spans="1:3" ht="29" x14ac:dyDescent="0.35">
      <c r="A8" s="6" t="s">
        <v>42</v>
      </c>
      <c r="B8" s="7" t="s">
        <v>50</v>
      </c>
      <c r="C8" s="7"/>
    </row>
    <row r="9" spans="1:3" ht="58" x14ac:dyDescent="0.35">
      <c r="A9" s="6" t="s">
        <v>43</v>
      </c>
      <c r="B9" s="7" t="s">
        <v>51</v>
      </c>
      <c r="C9" s="7"/>
    </row>
    <row r="10" spans="1:3" ht="58" x14ac:dyDescent="0.35">
      <c r="A10" s="6" t="s">
        <v>44</v>
      </c>
      <c r="B10" s="7" t="s">
        <v>52</v>
      </c>
      <c r="C10" s="7"/>
    </row>
    <row r="11" spans="1:3" ht="43.5" x14ac:dyDescent="0.35">
      <c r="A11" s="6" t="s">
        <v>53</v>
      </c>
      <c r="B11" s="7" t="s">
        <v>54</v>
      </c>
      <c r="C11" s="7"/>
    </row>
    <row r="12" spans="1:3" x14ac:dyDescent="0.35">
      <c r="A12" s="6" t="s">
        <v>4</v>
      </c>
      <c r="B12" s="7" t="s">
        <v>67</v>
      </c>
      <c r="C12" s="4"/>
    </row>
    <row r="13" spans="1:3" x14ac:dyDescent="0.35">
      <c r="A13" s="23" t="s">
        <v>98</v>
      </c>
      <c r="B13" s="19" t="s">
        <v>99</v>
      </c>
      <c r="C13" s="24"/>
    </row>
    <row r="14" spans="1:3" x14ac:dyDescent="0.35">
      <c r="A14" s="23" t="s">
        <v>100</v>
      </c>
      <c r="B14" s="19" t="s">
        <v>101</v>
      </c>
      <c r="C14" s="24"/>
    </row>
    <row r="15" spans="1:3" ht="43.5" x14ac:dyDescent="0.35">
      <c r="A15" s="23" t="s">
        <v>102</v>
      </c>
      <c r="B15" s="19" t="s">
        <v>103</v>
      </c>
      <c r="C15" s="24"/>
    </row>
    <row r="16" spans="1:3" ht="43.5" x14ac:dyDescent="0.35">
      <c r="A16" s="23" t="s">
        <v>104</v>
      </c>
      <c r="B16" s="19" t="s">
        <v>105</v>
      </c>
      <c r="C16" s="24"/>
    </row>
    <row r="17" spans="1:3" ht="29" x14ac:dyDescent="0.35">
      <c r="A17" s="23" t="s">
        <v>106</v>
      </c>
      <c r="B17" s="19" t="s">
        <v>107</v>
      </c>
      <c r="C17" s="24"/>
    </row>
    <row r="18" spans="1:3" x14ac:dyDescent="0.35">
      <c r="A18" s="23" t="s">
        <v>108</v>
      </c>
      <c r="B18" s="19" t="s">
        <v>109</v>
      </c>
      <c r="C18" s="24"/>
    </row>
    <row r="19" spans="1:3" x14ac:dyDescent="0.35">
      <c r="A19" s="6"/>
      <c r="B19" s="7"/>
      <c r="C19" s="7"/>
    </row>
    <row r="20" spans="1:3" x14ac:dyDescent="0.35">
      <c r="A20" s="7"/>
    </row>
    <row r="21" spans="1:3" ht="159.5" x14ac:dyDescent="0.35">
      <c r="A21" s="8" t="s">
        <v>6</v>
      </c>
      <c r="B21" s="9" t="s">
        <v>28</v>
      </c>
    </row>
    <row r="22" spans="1:3" x14ac:dyDescent="0.35">
      <c r="A22" s="7"/>
    </row>
    <row r="24" spans="1:3" x14ac:dyDescent="0.35">
      <c r="B24" s="10"/>
    </row>
    <row r="25" spans="1:3" ht="58" x14ac:dyDescent="0.35">
      <c r="A25" s="25" t="s">
        <v>11</v>
      </c>
      <c r="B25" s="11" t="s">
        <v>114</v>
      </c>
    </row>
    <row r="27" spans="1:3" ht="29" x14ac:dyDescent="0.35">
      <c r="A27" s="12" t="s">
        <v>12</v>
      </c>
      <c r="B27" s="13" t="s">
        <v>33</v>
      </c>
    </row>
  </sheetData>
  <conditionalFormatting sqref="C2:C3">
    <cfRule type="containsBlanks" dxfId="2" priority="1">
      <formula>LEN(TRIM(C2))=0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3"/>
  <sheetViews>
    <sheetView workbookViewId="0">
      <selection activeCell="A11" sqref="A11"/>
    </sheetView>
  </sheetViews>
  <sheetFormatPr defaultRowHeight="14.5" x14ac:dyDescent="0.35"/>
  <cols>
    <col min="1" max="1" width="30.1796875" bestFit="1" customWidth="1"/>
    <col min="2" max="2" width="13.7265625" bestFit="1" customWidth="1"/>
    <col min="3" max="3" width="107.6328125" customWidth="1"/>
    <col min="4" max="4" width="12" bestFit="1" customWidth="1"/>
    <col min="5" max="5" width="12.81640625" bestFit="1" customWidth="1"/>
    <col min="6" max="6" width="19.26953125" bestFit="1" customWidth="1"/>
    <col min="7" max="7" width="18.7265625" bestFit="1" customWidth="1"/>
    <col min="8" max="8" width="35.1796875" bestFit="1" customWidth="1"/>
    <col min="9" max="9" width="28.81640625" bestFit="1" customWidth="1"/>
    <col min="10" max="10" width="29.1796875" bestFit="1" customWidth="1"/>
    <col min="12" max="12" width="18.26953125" bestFit="1" customWidth="1"/>
  </cols>
  <sheetData>
    <row r="1" spans="1:12" x14ac:dyDescent="0.35">
      <c r="A1" s="21" t="s">
        <v>0</v>
      </c>
      <c r="B1" t="s">
        <v>1</v>
      </c>
      <c r="C1" t="s">
        <v>2</v>
      </c>
      <c r="D1" s="21" t="s">
        <v>3</v>
      </c>
      <c r="E1" t="s">
        <v>10</v>
      </c>
      <c r="F1" t="s">
        <v>8</v>
      </c>
      <c r="G1" t="s">
        <v>9</v>
      </c>
      <c r="H1" t="s">
        <v>75</v>
      </c>
      <c r="I1" t="s">
        <v>77</v>
      </c>
      <c r="J1" t="s">
        <v>78</v>
      </c>
      <c r="L1" t="s">
        <v>74</v>
      </c>
    </row>
    <row r="2" spans="1:12" x14ac:dyDescent="0.35">
      <c r="A2" t="s">
        <v>162</v>
      </c>
      <c r="C2" t="s">
        <v>164</v>
      </c>
      <c r="D2" t="s">
        <v>85</v>
      </c>
      <c r="E2" t="s">
        <v>149</v>
      </c>
      <c r="F2" t="s">
        <v>149</v>
      </c>
      <c r="L2" t="s">
        <v>85</v>
      </c>
    </row>
    <row r="3" spans="1:12" x14ac:dyDescent="0.35">
      <c r="A3" t="s">
        <v>119</v>
      </c>
      <c r="C3" t="s">
        <v>165</v>
      </c>
      <c r="D3" t="s">
        <v>85</v>
      </c>
      <c r="E3" t="s">
        <v>149</v>
      </c>
      <c r="F3" t="s">
        <v>149</v>
      </c>
      <c r="L3" t="s">
        <v>86</v>
      </c>
    </row>
    <row r="4" spans="1:12" x14ac:dyDescent="0.35">
      <c r="A4" t="s">
        <v>120</v>
      </c>
      <c r="C4" t="s">
        <v>166</v>
      </c>
      <c r="D4" t="s">
        <v>85</v>
      </c>
      <c r="E4" t="s">
        <v>149</v>
      </c>
      <c r="F4" t="s">
        <v>149</v>
      </c>
      <c r="L4" t="s">
        <v>87</v>
      </c>
    </row>
    <row r="5" spans="1:12" x14ac:dyDescent="0.35">
      <c r="A5" t="s">
        <v>118</v>
      </c>
      <c r="C5" t="s">
        <v>167</v>
      </c>
      <c r="D5" t="s">
        <v>85</v>
      </c>
      <c r="E5" t="s">
        <v>149</v>
      </c>
      <c r="F5" t="s">
        <v>149</v>
      </c>
      <c r="L5" t="s">
        <v>76</v>
      </c>
    </row>
    <row r="6" spans="1:12" x14ac:dyDescent="0.35">
      <c r="A6" t="s">
        <v>121</v>
      </c>
      <c r="C6" t="s">
        <v>168</v>
      </c>
      <c r="D6" t="s">
        <v>85</v>
      </c>
      <c r="E6" t="s">
        <v>149</v>
      </c>
      <c r="F6" t="s">
        <v>149</v>
      </c>
    </row>
    <row r="7" spans="1:12" x14ac:dyDescent="0.35">
      <c r="A7" t="s">
        <v>122</v>
      </c>
      <c r="C7" t="s">
        <v>169</v>
      </c>
      <c r="D7" t="s">
        <v>85</v>
      </c>
      <c r="E7" t="s">
        <v>14</v>
      </c>
      <c r="F7" t="s">
        <v>14</v>
      </c>
    </row>
    <row r="8" spans="1:12" x14ac:dyDescent="0.35">
      <c r="A8" t="s">
        <v>123</v>
      </c>
      <c r="C8" t="s">
        <v>170</v>
      </c>
      <c r="D8" t="s">
        <v>85</v>
      </c>
      <c r="E8" t="s">
        <v>14</v>
      </c>
      <c r="F8" t="s">
        <v>14</v>
      </c>
    </row>
    <row r="9" spans="1:12" x14ac:dyDescent="0.35">
      <c r="A9" t="s">
        <v>124</v>
      </c>
      <c r="C9" t="s">
        <v>171</v>
      </c>
      <c r="D9" t="s">
        <v>85</v>
      </c>
      <c r="E9" t="s">
        <v>14</v>
      </c>
      <c r="F9" t="s">
        <v>14</v>
      </c>
    </row>
    <row r="10" spans="1:12" x14ac:dyDescent="0.35">
      <c r="A10" t="s">
        <v>125</v>
      </c>
      <c r="C10" t="s">
        <v>173</v>
      </c>
      <c r="D10" t="s">
        <v>85</v>
      </c>
      <c r="E10" t="s">
        <v>14</v>
      </c>
      <c r="F10" t="s">
        <v>14</v>
      </c>
    </row>
    <row r="11" spans="1:12" x14ac:dyDescent="0.35">
      <c r="A11" t="s">
        <v>126</v>
      </c>
      <c r="C11" t="s">
        <v>172</v>
      </c>
      <c r="D11" t="s">
        <v>85</v>
      </c>
      <c r="E11" t="s">
        <v>14</v>
      </c>
      <c r="F11" t="s">
        <v>14</v>
      </c>
    </row>
    <row r="12" spans="1:12" x14ac:dyDescent="0.35">
      <c r="A12" t="s">
        <v>127</v>
      </c>
      <c r="C12" t="s">
        <v>174</v>
      </c>
      <c r="D12" t="s">
        <v>85</v>
      </c>
      <c r="E12" t="s">
        <v>14</v>
      </c>
      <c r="F12" t="s">
        <v>14</v>
      </c>
    </row>
    <row r="13" spans="1:12" x14ac:dyDescent="0.35">
      <c r="A13" t="s">
        <v>128</v>
      </c>
      <c r="C13" t="s">
        <v>175</v>
      </c>
      <c r="D13" t="s">
        <v>85</v>
      </c>
      <c r="E13" t="s">
        <v>14</v>
      </c>
      <c r="F13" t="s">
        <v>14</v>
      </c>
    </row>
    <row r="14" spans="1:12" x14ac:dyDescent="0.35">
      <c r="A14" t="s">
        <v>129</v>
      </c>
      <c r="C14" t="s">
        <v>176</v>
      </c>
      <c r="D14" t="s">
        <v>85</v>
      </c>
      <c r="E14" t="s">
        <v>150</v>
      </c>
      <c r="F14" t="s">
        <v>150</v>
      </c>
    </row>
    <row r="15" spans="1:12" x14ac:dyDescent="0.35">
      <c r="A15" t="s">
        <v>130</v>
      </c>
      <c r="C15" t="s">
        <v>177</v>
      </c>
      <c r="D15" t="s">
        <v>85</v>
      </c>
    </row>
    <row r="16" spans="1:12" x14ac:dyDescent="0.35">
      <c r="A16" t="s">
        <v>131</v>
      </c>
      <c r="C16" t="s">
        <v>178</v>
      </c>
      <c r="D16" t="s">
        <v>85</v>
      </c>
    </row>
    <row r="17" spans="1:6" x14ac:dyDescent="0.35">
      <c r="A17" t="s">
        <v>132</v>
      </c>
      <c r="C17" t="s">
        <v>179</v>
      </c>
      <c r="D17" t="s">
        <v>85</v>
      </c>
      <c r="E17" t="s">
        <v>151</v>
      </c>
      <c r="F17" t="s">
        <v>151</v>
      </c>
    </row>
    <row r="18" spans="1:6" x14ac:dyDescent="0.35">
      <c r="A18" t="s">
        <v>133</v>
      </c>
      <c r="C18" t="s">
        <v>180</v>
      </c>
      <c r="D18" t="s">
        <v>85</v>
      </c>
      <c r="E18" t="s">
        <v>151</v>
      </c>
      <c r="F18" t="s">
        <v>151</v>
      </c>
    </row>
    <row r="19" spans="1:6" x14ac:dyDescent="0.35">
      <c r="A19" t="s">
        <v>134</v>
      </c>
      <c r="C19" t="s">
        <v>181</v>
      </c>
      <c r="D19" t="s">
        <v>85</v>
      </c>
      <c r="E19" t="s">
        <v>151</v>
      </c>
      <c r="F19" t="s">
        <v>151</v>
      </c>
    </row>
    <row r="20" spans="1:6" x14ac:dyDescent="0.35">
      <c r="A20" t="s">
        <v>135</v>
      </c>
      <c r="C20" t="s">
        <v>182</v>
      </c>
      <c r="D20" t="s">
        <v>85</v>
      </c>
      <c r="E20" t="s">
        <v>152</v>
      </c>
      <c r="F20" t="s">
        <v>152</v>
      </c>
    </row>
    <row r="21" spans="1:6" x14ac:dyDescent="0.35">
      <c r="A21" t="s">
        <v>136</v>
      </c>
      <c r="C21" t="s">
        <v>183</v>
      </c>
      <c r="D21" t="s">
        <v>85</v>
      </c>
    </row>
    <row r="22" spans="1:6" x14ac:dyDescent="0.35">
      <c r="A22" t="s">
        <v>137</v>
      </c>
      <c r="C22" t="s">
        <v>184</v>
      </c>
      <c r="D22" t="s">
        <v>85</v>
      </c>
    </row>
    <row r="23" spans="1:6" x14ac:dyDescent="0.35">
      <c r="A23" t="s">
        <v>138</v>
      </c>
      <c r="C23" t="s">
        <v>185</v>
      </c>
      <c r="D23" t="s">
        <v>85</v>
      </c>
    </row>
    <row r="24" spans="1:6" x14ac:dyDescent="0.35">
      <c r="A24" t="s">
        <v>139</v>
      </c>
      <c r="C24" t="s">
        <v>186</v>
      </c>
      <c r="D24" t="s">
        <v>85</v>
      </c>
    </row>
    <row r="25" spans="1:6" x14ac:dyDescent="0.35">
      <c r="A25" t="s">
        <v>140</v>
      </c>
      <c r="C25" t="s">
        <v>187</v>
      </c>
      <c r="D25" t="s">
        <v>85</v>
      </c>
    </row>
    <row r="26" spans="1:6" x14ac:dyDescent="0.35">
      <c r="A26" t="s">
        <v>141</v>
      </c>
      <c r="C26" t="s">
        <v>188</v>
      </c>
      <c r="D26" t="s">
        <v>85</v>
      </c>
    </row>
    <row r="27" spans="1:6" x14ac:dyDescent="0.35">
      <c r="A27" t="s">
        <v>142</v>
      </c>
      <c r="C27" t="s">
        <v>189</v>
      </c>
      <c r="D27" t="s">
        <v>85</v>
      </c>
      <c r="E27" t="s">
        <v>151</v>
      </c>
      <c r="F27" t="s">
        <v>151</v>
      </c>
    </row>
    <row r="28" spans="1:6" x14ac:dyDescent="0.35">
      <c r="A28" t="s">
        <v>143</v>
      </c>
      <c r="C28" t="s">
        <v>190</v>
      </c>
      <c r="D28" t="s">
        <v>85</v>
      </c>
      <c r="E28" t="s">
        <v>151</v>
      </c>
      <c r="F28" t="s">
        <v>151</v>
      </c>
    </row>
    <row r="29" spans="1:6" x14ac:dyDescent="0.35">
      <c r="A29" t="s">
        <v>144</v>
      </c>
      <c r="C29" t="s">
        <v>191</v>
      </c>
      <c r="D29" t="s">
        <v>85</v>
      </c>
      <c r="E29" t="s">
        <v>151</v>
      </c>
      <c r="F29" t="s">
        <v>151</v>
      </c>
    </row>
    <row r="30" spans="1:6" x14ac:dyDescent="0.35">
      <c r="A30" t="s">
        <v>145</v>
      </c>
      <c r="C30" t="s">
        <v>192</v>
      </c>
      <c r="D30" t="s">
        <v>85</v>
      </c>
    </row>
    <row r="31" spans="1:6" x14ac:dyDescent="0.35">
      <c r="A31" t="s">
        <v>146</v>
      </c>
      <c r="C31" t="s">
        <v>193</v>
      </c>
      <c r="D31" t="s">
        <v>85</v>
      </c>
      <c r="E31" t="s">
        <v>151</v>
      </c>
      <c r="F31" t="s">
        <v>151</v>
      </c>
    </row>
    <row r="32" spans="1:6" x14ac:dyDescent="0.35">
      <c r="A32" t="s">
        <v>147</v>
      </c>
      <c r="C32" t="s">
        <v>194</v>
      </c>
      <c r="D32" t="s">
        <v>85</v>
      </c>
      <c r="E32" t="s">
        <v>151</v>
      </c>
      <c r="F32" t="s">
        <v>151</v>
      </c>
    </row>
    <row r="33" spans="1:6" x14ac:dyDescent="0.35">
      <c r="A33" t="s">
        <v>148</v>
      </c>
      <c r="C33" t="s">
        <v>195</v>
      </c>
      <c r="D33" t="s">
        <v>85</v>
      </c>
      <c r="E33" t="s">
        <v>151</v>
      </c>
      <c r="F33" t="s">
        <v>151</v>
      </c>
    </row>
  </sheetData>
  <conditionalFormatting sqref="A2:A33 D2:D33">
    <cfRule type="containsBlanks" dxfId="1" priority="1">
      <formula>LEN(TRIM(A2))=0</formula>
    </cfRule>
  </conditionalFormatting>
  <dataValidations count="8">
    <dataValidation allowBlank="1" showInputMessage="1" showErrorMessage="1" promptTitle="Phenotype Name" prompt="This should be the full name of the phenotype that has been scored." sqref="A1" xr:uid="{53C12F0B-3F9F-48BF-B0F0-E08B964BA4CC}"/>
    <dataValidation allowBlank="1" showInputMessage="1" showErrorMessage="1" promptTitle="Phenotype Short Name" prompt="This is should be a shortened version of the phenotype name. This is used on some of the Germinate pages which use tables so that the phenotype name fits." sqref="B1" xr:uid="{8C19ED97-A603-4BB6-A206-2A716846C37F}"/>
    <dataValidation allowBlank="1" showInputMessage="1" showErrorMessage="1" promptTitle="Phenotype Description" prompt="This should be a full description of the phenotype. There is no limit to the length of text that can be used here so please be descriptive." sqref="C1" xr:uid="{F089AE66-013F-4735-81BE-5882571D1849}"/>
    <dataValidation allowBlank="1" showInputMessage="1" showErrorMessage="1" promptTitle="Unit Name" prompt="The name of the unit that is defined. Examples would include 'centimetre' or 'litre'" sqref="E1" xr:uid="{812908F9-58E0-44B7-8D9B-8F24F8373A14}"/>
    <dataValidation allowBlank="1" showInputMessage="1" showErrorMessage="1" promptTitle="Unit Abbreviation" prompt="Abbreviation for unit. Examples include 'l' or 'cm'" sqref="F1" xr:uid="{240F401A-C0EB-48A0-9B93-B4062FF9E866}"/>
    <dataValidation allowBlank="1" showInputMessage="1" showErrorMessage="1" promptTitle="Unit Description" prompt="A description of the unit." sqref="G1" xr:uid="{6BD03C10-201D-4FCC-A927-CC3E06375029}"/>
    <dataValidation type="list" allowBlank="1" showInputMessage="1" showErrorMessage="1" sqref="D1 D34:D1048576" xr:uid="{82E3529B-0246-482A-A1C4-DA13B1AEE9F4}">
      <formula1>$L$2:$L$4</formula1>
    </dataValidation>
    <dataValidation type="list" allowBlank="1" showInputMessage="1" showErrorMessage="1" sqref="D2:D33" xr:uid="{E7F82065-00E0-406C-B1D1-FF1C0CCD1326}">
      <formula1>$L$2:$L$5</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1"/>
  <sheetViews>
    <sheetView topLeftCell="G1" workbookViewId="0">
      <selection activeCell="O1" sqref="O1:O1048576"/>
    </sheetView>
  </sheetViews>
  <sheetFormatPr defaultRowHeight="14.5" x14ac:dyDescent="0.35"/>
  <cols>
    <col min="1" max="1" width="30.26953125" bestFit="1" customWidth="1"/>
    <col min="2" max="2" width="6.7265625" bestFit="1" customWidth="1"/>
    <col min="3" max="3" width="8.7265625" bestFit="1" customWidth="1"/>
    <col min="4" max="5" width="11.453125" bestFit="1" customWidth="1"/>
    <col min="6" max="6" width="12.54296875" bestFit="1" customWidth="1"/>
    <col min="7" max="7" width="29.7265625" bestFit="1" customWidth="1"/>
    <col min="8" max="8" width="10.54296875" bestFit="1" customWidth="1"/>
    <col min="9" max="9" width="12.1796875" bestFit="1" customWidth="1"/>
    <col min="10" max="10" width="11.54296875" bestFit="1" customWidth="1"/>
    <col min="11" max="11" width="18" bestFit="1" customWidth="1"/>
    <col min="13" max="13" width="15.54296875" bestFit="1" customWidth="1"/>
    <col min="14" max="14" width="13.6328125" bestFit="1" customWidth="1"/>
    <col min="15" max="15" width="19.1796875" customWidth="1"/>
    <col min="16" max="16" width="13.6328125" bestFit="1" customWidth="1"/>
  </cols>
  <sheetData>
    <row r="1" spans="1:29" x14ac:dyDescent="0.35">
      <c r="A1" s="22" t="s">
        <v>7</v>
      </c>
      <c r="B1" s="1" t="s">
        <v>29</v>
      </c>
      <c r="C1" s="1" t="s">
        <v>97</v>
      </c>
      <c r="D1" s="1" t="s">
        <v>115</v>
      </c>
      <c r="E1" s="1" t="s">
        <v>116</v>
      </c>
      <c r="F1" s="1" t="s">
        <v>30</v>
      </c>
      <c r="G1" t="s">
        <v>91</v>
      </c>
      <c r="H1" t="s">
        <v>71</v>
      </c>
      <c r="I1" t="s">
        <v>72</v>
      </c>
      <c r="J1" t="s">
        <v>70</v>
      </c>
      <c r="K1" t="s">
        <v>162</v>
      </c>
      <c r="L1" t="s">
        <v>119</v>
      </c>
      <c r="M1" t="s">
        <v>129</v>
      </c>
      <c r="N1" t="s">
        <v>124</v>
      </c>
      <c r="O1" t="s">
        <v>126</v>
      </c>
      <c r="P1" t="s">
        <v>127</v>
      </c>
      <c r="Q1" t="s">
        <v>125</v>
      </c>
      <c r="R1" t="s">
        <v>121</v>
      </c>
      <c r="S1" t="s">
        <v>123</v>
      </c>
      <c r="T1" t="s">
        <v>122</v>
      </c>
      <c r="U1" t="s">
        <v>130</v>
      </c>
      <c r="V1" t="s">
        <v>132</v>
      </c>
      <c r="W1" t="s">
        <v>133</v>
      </c>
      <c r="X1" t="s">
        <v>147</v>
      </c>
      <c r="Y1" t="s">
        <v>141</v>
      </c>
      <c r="Z1" t="s">
        <v>148</v>
      </c>
      <c r="AA1" t="s">
        <v>146</v>
      </c>
      <c r="AB1" t="s">
        <v>143</v>
      </c>
      <c r="AC1" t="s">
        <v>140</v>
      </c>
    </row>
    <row r="2" spans="1:29" x14ac:dyDescent="0.35">
      <c r="A2" t="s">
        <v>153</v>
      </c>
      <c r="B2">
        <v>1</v>
      </c>
      <c r="C2" t="s">
        <v>156</v>
      </c>
      <c r="H2">
        <v>2.9488449999999999</v>
      </c>
      <c r="I2">
        <v>101.872045</v>
      </c>
      <c r="K2">
        <v>7</v>
      </c>
      <c r="L2">
        <v>55</v>
      </c>
      <c r="M2">
        <v>906</v>
      </c>
      <c r="N2">
        <v>55</v>
      </c>
      <c r="O2">
        <v>8</v>
      </c>
      <c r="P2">
        <v>4</v>
      </c>
      <c r="Q2">
        <v>25</v>
      </c>
      <c r="R2">
        <v>2.5</v>
      </c>
      <c r="S2">
        <v>3</v>
      </c>
      <c r="T2">
        <v>3</v>
      </c>
      <c r="U2">
        <v>25</v>
      </c>
      <c r="V2">
        <v>316.69</v>
      </c>
      <c r="W2">
        <v>115.16</v>
      </c>
      <c r="X2">
        <v>23.6</v>
      </c>
      <c r="Y2">
        <v>6.46</v>
      </c>
      <c r="Z2">
        <v>3.06</v>
      </c>
      <c r="AA2">
        <v>1352.98</v>
      </c>
      <c r="AB2">
        <v>1044.75</v>
      </c>
      <c r="AC2">
        <v>1752</v>
      </c>
    </row>
    <row r="3" spans="1:29" x14ac:dyDescent="0.35">
      <c r="A3" t="s">
        <v>153</v>
      </c>
      <c r="B3">
        <v>2</v>
      </c>
      <c r="C3" t="s">
        <v>156</v>
      </c>
      <c r="H3">
        <v>2.9488449999999999</v>
      </c>
      <c r="I3">
        <v>101.872045</v>
      </c>
      <c r="K3">
        <v>7</v>
      </c>
      <c r="L3">
        <v>55</v>
      </c>
      <c r="M3">
        <v>846</v>
      </c>
      <c r="N3">
        <v>60</v>
      </c>
      <c r="O3">
        <v>8.5</v>
      </c>
      <c r="P3">
        <v>4</v>
      </c>
      <c r="Q3">
        <v>21</v>
      </c>
      <c r="R3">
        <v>3</v>
      </c>
      <c r="S3">
        <v>4</v>
      </c>
      <c r="T3">
        <v>4</v>
      </c>
      <c r="U3">
        <v>21</v>
      </c>
      <c r="V3">
        <v>281.64</v>
      </c>
      <c r="W3">
        <v>138.82</v>
      </c>
      <c r="X3">
        <v>37.31</v>
      </c>
      <c r="Y3">
        <v>10.17</v>
      </c>
    </row>
    <row r="4" spans="1:29" x14ac:dyDescent="0.35">
      <c r="A4" t="s">
        <v>153</v>
      </c>
      <c r="B4">
        <v>1</v>
      </c>
      <c r="C4" t="s">
        <v>156</v>
      </c>
      <c r="H4">
        <v>2.9488449999999999</v>
      </c>
      <c r="I4">
        <v>101.872045</v>
      </c>
      <c r="K4">
        <v>7</v>
      </c>
      <c r="L4">
        <v>55</v>
      </c>
      <c r="M4">
        <v>588</v>
      </c>
      <c r="N4">
        <v>40</v>
      </c>
      <c r="O4">
        <v>6.5</v>
      </c>
      <c r="P4">
        <v>3</v>
      </c>
      <c r="Q4">
        <v>25</v>
      </c>
      <c r="R4">
        <v>3</v>
      </c>
      <c r="S4">
        <v>2.5</v>
      </c>
      <c r="T4">
        <v>2.5</v>
      </c>
      <c r="U4">
        <v>12</v>
      </c>
      <c r="V4">
        <v>123.78</v>
      </c>
      <c r="W4">
        <v>62.63</v>
      </c>
      <c r="X4">
        <v>2.2000000000000002</v>
      </c>
      <c r="Y4">
        <v>0.69</v>
      </c>
      <c r="Z4">
        <v>4.42</v>
      </c>
      <c r="AA4">
        <v>1611.42</v>
      </c>
      <c r="AB4">
        <v>1219.73</v>
      </c>
      <c r="AC4">
        <v>2601</v>
      </c>
    </row>
    <row r="5" spans="1:29" x14ac:dyDescent="0.35">
      <c r="A5" t="s">
        <v>153</v>
      </c>
      <c r="B5">
        <v>2</v>
      </c>
      <c r="C5" t="s">
        <v>156</v>
      </c>
      <c r="H5">
        <v>2.9488449999999999</v>
      </c>
      <c r="I5">
        <v>101.872045</v>
      </c>
      <c r="K5">
        <v>7</v>
      </c>
      <c r="L5">
        <v>55</v>
      </c>
      <c r="M5">
        <v>993</v>
      </c>
      <c r="N5">
        <v>48</v>
      </c>
      <c r="O5">
        <v>7.5</v>
      </c>
      <c r="P5">
        <v>3.5</v>
      </c>
      <c r="Q5">
        <v>27</v>
      </c>
      <c r="R5">
        <v>2.5</v>
      </c>
      <c r="S5">
        <v>2.8</v>
      </c>
      <c r="T5">
        <v>2.8</v>
      </c>
      <c r="U5">
        <v>18</v>
      </c>
      <c r="V5">
        <v>286.86</v>
      </c>
      <c r="W5">
        <v>129.61000000000001</v>
      </c>
      <c r="X5">
        <v>35.380000000000003</v>
      </c>
      <c r="Y5">
        <v>10.96</v>
      </c>
    </row>
    <row r="6" spans="1:29" x14ac:dyDescent="0.35">
      <c r="A6" t="s">
        <v>153</v>
      </c>
      <c r="B6">
        <v>1</v>
      </c>
      <c r="C6" t="s">
        <v>156</v>
      </c>
      <c r="H6">
        <v>2.9488449999999999</v>
      </c>
      <c r="I6">
        <v>101.872045</v>
      </c>
      <c r="K6">
        <v>7</v>
      </c>
      <c r="L6">
        <v>55</v>
      </c>
      <c r="M6">
        <v>1278</v>
      </c>
      <c r="N6">
        <v>57</v>
      </c>
      <c r="O6">
        <v>7</v>
      </c>
      <c r="P6">
        <v>3.5</v>
      </c>
      <c r="Q6">
        <v>25</v>
      </c>
      <c r="R6">
        <v>3</v>
      </c>
      <c r="S6">
        <v>2</v>
      </c>
      <c r="T6">
        <v>2</v>
      </c>
      <c r="U6">
        <v>29</v>
      </c>
      <c r="V6">
        <v>534.04</v>
      </c>
      <c r="W6">
        <v>156.36000000000001</v>
      </c>
      <c r="X6">
        <v>26.11</v>
      </c>
      <c r="Y6">
        <v>7.45</v>
      </c>
      <c r="Z6">
        <v>3.52</v>
      </c>
      <c r="AA6">
        <v>1429.96</v>
      </c>
      <c r="AB6">
        <v>1065.3900000000001</v>
      </c>
      <c r="AC6">
        <v>1701</v>
      </c>
    </row>
    <row r="7" spans="1:29" x14ac:dyDescent="0.35">
      <c r="A7" t="s">
        <v>153</v>
      </c>
      <c r="B7">
        <v>2</v>
      </c>
      <c r="C7" t="s">
        <v>156</v>
      </c>
      <c r="H7">
        <v>2.9488449999999999</v>
      </c>
      <c r="I7">
        <v>101.872045</v>
      </c>
      <c r="K7">
        <v>7</v>
      </c>
      <c r="L7">
        <v>55</v>
      </c>
      <c r="M7">
        <v>1158</v>
      </c>
      <c r="N7">
        <v>50</v>
      </c>
      <c r="O7">
        <v>6.5</v>
      </c>
      <c r="P7">
        <v>4</v>
      </c>
      <c r="Q7">
        <v>22</v>
      </c>
      <c r="R7">
        <v>3.5</v>
      </c>
      <c r="S7">
        <v>2</v>
      </c>
      <c r="T7">
        <v>2</v>
      </c>
      <c r="U7">
        <v>14</v>
      </c>
      <c r="V7">
        <v>508.51</v>
      </c>
      <c r="W7">
        <v>186.96</v>
      </c>
      <c r="X7">
        <v>17.8</v>
      </c>
      <c r="Y7">
        <v>4.3099999999999996</v>
      </c>
    </row>
    <row r="8" spans="1:29" x14ac:dyDescent="0.35">
      <c r="A8" t="s">
        <v>153</v>
      </c>
      <c r="B8">
        <v>1</v>
      </c>
      <c r="C8" t="s">
        <v>157</v>
      </c>
      <c r="H8">
        <v>2.9488449999999999</v>
      </c>
      <c r="I8">
        <v>101.872045</v>
      </c>
      <c r="K8">
        <v>7</v>
      </c>
      <c r="L8">
        <v>58</v>
      </c>
      <c r="M8">
        <v>480</v>
      </c>
      <c r="N8">
        <v>43</v>
      </c>
      <c r="O8">
        <v>6</v>
      </c>
      <c r="P8">
        <v>3</v>
      </c>
      <c r="Q8">
        <v>20</v>
      </c>
      <c r="R8">
        <v>2</v>
      </c>
      <c r="S8">
        <v>3.5</v>
      </c>
      <c r="T8">
        <v>3.5</v>
      </c>
      <c r="U8">
        <v>17</v>
      </c>
      <c r="V8">
        <v>145.82</v>
      </c>
      <c r="W8">
        <v>52.69</v>
      </c>
      <c r="X8">
        <v>32.32</v>
      </c>
      <c r="Y8">
        <v>10.94</v>
      </c>
      <c r="Z8">
        <v>2.52</v>
      </c>
      <c r="AA8">
        <v>1087.6500000000001</v>
      </c>
      <c r="AB8">
        <v>843.34</v>
      </c>
      <c r="AC8">
        <v>1433</v>
      </c>
    </row>
    <row r="9" spans="1:29" x14ac:dyDescent="0.35">
      <c r="A9" t="s">
        <v>153</v>
      </c>
      <c r="B9">
        <v>2</v>
      </c>
      <c r="C9" t="s">
        <v>157</v>
      </c>
      <c r="H9">
        <v>2.9488449999999999</v>
      </c>
      <c r="I9">
        <v>101.872045</v>
      </c>
      <c r="K9">
        <v>7</v>
      </c>
      <c r="L9">
        <v>58</v>
      </c>
      <c r="M9">
        <v>636</v>
      </c>
      <c r="N9">
        <v>50</v>
      </c>
      <c r="O9">
        <v>7</v>
      </c>
      <c r="P9">
        <v>4</v>
      </c>
      <c r="Q9">
        <v>21</v>
      </c>
      <c r="R9">
        <v>2</v>
      </c>
      <c r="S9">
        <v>2</v>
      </c>
      <c r="T9">
        <v>2</v>
      </c>
      <c r="U9">
        <v>20</v>
      </c>
      <c r="V9">
        <v>218.25</v>
      </c>
      <c r="W9">
        <v>75.5</v>
      </c>
      <c r="X9">
        <v>40.840000000000003</v>
      </c>
      <c r="Y9">
        <v>8.76</v>
      </c>
    </row>
    <row r="10" spans="1:29" x14ac:dyDescent="0.35">
      <c r="A10" t="s">
        <v>153</v>
      </c>
      <c r="B10">
        <v>1</v>
      </c>
      <c r="C10" t="s">
        <v>157</v>
      </c>
      <c r="H10">
        <v>2.9488449999999999</v>
      </c>
      <c r="I10">
        <v>101.872045</v>
      </c>
      <c r="K10">
        <v>7</v>
      </c>
      <c r="L10">
        <v>55</v>
      </c>
      <c r="M10">
        <v>909</v>
      </c>
      <c r="N10">
        <v>56</v>
      </c>
      <c r="O10">
        <v>7.5</v>
      </c>
      <c r="P10">
        <v>3.5</v>
      </c>
      <c r="Q10">
        <v>23</v>
      </c>
      <c r="R10">
        <v>3</v>
      </c>
      <c r="S10">
        <v>2.7</v>
      </c>
      <c r="T10">
        <v>2.7</v>
      </c>
      <c r="U10">
        <v>14</v>
      </c>
      <c r="V10">
        <v>315.27</v>
      </c>
      <c r="W10">
        <v>115.69</v>
      </c>
      <c r="X10">
        <v>30.6</v>
      </c>
      <c r="Y10">
        <v>9.41</v>
      </c>
      <c r="Z10">
        <v>1.54</v>
      </c>
      <c r="AA10">
        <v>721.14</v>
      </c>
      <c r="AB10">
        <v>553.21</v>
      </c>
      <c r="AC10">
        <v>1151</v>
      </c>
    </row>
    <row r="11" spans="1:29" x14ac:dyDescent="0.35">
      <c r="A11" t="s">
        <v>153</v>
      </c>
      <c r="B11">
        <v>2</v>
      </c>
      <c r="C11" t="s">
        <v>157</v>
      </c>
      <c r="H11">
        <v>2.9488449999999999</v>
      </c>
      <c r="I11">
        <v>101.872045</v>
      </c>
      <c r="K11">
        <v>7</v>
      </c>
      <c r="L11">
        <v>55</v>
      </c>
      <c r="M11">
        <v>777</v>
      </c>
      <c r="N11">
        <v>61</v>
      </c>
      <c r="O11">
        <v>8.5</v>
      </c>
      <c r="P11">
        <v>4</v>
      </c>
      <c r="Q11">
        <v>23</v>
      </c>
      <c r="R11">
        <v>3</v>
      </c>
      <c r="S11">
        <v>2</v>
      </c>
      <c r="T11">
        <v>2</v>
      </c>
      <c r="U11">
        <v>15</v>
      </c>
      <c r="V11">
        <v>329.11</v>
      </c>
      <c r="W11">
        <v>112.62</v>
      </c>
      <c r="X11">
        <v>43.89</v>
      </c>
      <c r="Y11">
        <v>11.82</v>
      </c>
    </row>
    <row r="12" spans="1:29" x14ac:dyDescent="0.35">
      <c r="A12" t="s">
        <v>153</v>
      </c>
      <c r="B12">
        <v>1</v>
      </c>
      <c r="C12" t="s">
        <v>157</v>
      </c>
      <c r="H12">
        <v>2.9488449999999999</v>
      </c>
      <c r="I12">
        <v>101.872045</v>
      </c>
      <c r="K12">
        <v>7</v>
      </c>
      <c r="L12">
        <v>55</v>
      </c>
      <c r="M12">
        <v>615</v>
      </c>
      <c r="N12">
        <v>60</v>
      </c>
      <c r="O12">
        <v>7.5</v>
      </c>
      <c r="P12">
        <v>4</v>
      </c>
      <c r="Q12">
        <v>27</v>
      </c>
      <c r="R12">
        <v>2</v>
      </c>
      <c r="S12">
        <v>2</v>
      </c>
      <c r="T12">
        <v>2</v>
      </c>
      <c r="U12">
        <v>22</v>
      </c>
      <c r="V12">
        <v>291.92</v>
      </c>
      <c r="W12">
        <v>149.35</v>
      </c>
      <c r="X12">
        <v>7.59</v>
      </c>
      <c r="Y12">
        <v>1.75</v>
      </c>
      <c r="Z12">
        <v>2.59</v>
      </c>
      <c r="AA12">
        <v>1485.98</v>
      </c>
      <c r="AB12">
        <v>1120.79</v>
      </c>
      <c r="AC12">
        <v>2454</v>
      </c>
    </row>
    <row r="13" spans="1:29" x14ac:dyDescent="0.35">
      <c r="A13" t="s">
        <v>153</v>
      </c>
      <c r="B13">
        <v>2</v>
      </c>
      <c r="C13" t="s">
        <v>157</v>
      </c>
      <c r="H13">
        <v>2.9488449999999999</v>
      </c>
      <c r="I13">
        <v>101.872045</v>
      </c>
      <c r="K13">
        <v>7</v>
      </c>
      <c r="L13">
        <v>55</v>
      </c>
      <c r="M13">
        <v>921</v>
      </c>
      <c r="N13">
        <v>52</v>
      </c>
      <c r="O13">
        <v>7.5</v>
      </c>
      <c r="P13">
        <v>3.5</v>
      </c>
      <c r="Q13">
        <v>27</v>
      </c>
      <c r="R13">
        <v>1.5</v>
      </c>
      <c r="S13">
        <v>2.5</v>
      </c>
      <c r="T13">
        <v>2.5</v>
      </c>
      <c r="U13">
        <v>19</v>
      </c>
      <c r="V13">
        <v>422.5</v>
      </c>
      <c r="W13">
        <v>45.49</v>
      </c>
      <c r="X13">
        <v>59.94</v>
      </c>
      <c r="Y13">
        <v>19.78</v>
      </c>
    </row>
    <row r="14" spans="1:29" x14ac:dyDescent="0.35">
      <c r="A14" t="s">
        <v>153</v>
      </c>
      <c r="B14">
        <v>1</v>
      </c>
      <c r="C14" t="s">
        <v>158</v>
      </c>
      <c r="H14">
        <v>2.9488449999999999</v>
      </c>
      <c r="I14">
        <v>101.872045</v>
      </c>
      <c r="K14">
        <v>7</v>
      </c>
      <c r="L14">
        <v>55</v>
      </c>
      <c r="M14">
        <v>969</v>
      </c>
      <c r="N14">
        <v>55</v>
      </c>
      <c r="O14">
        <v>7</v>
      </c>
      <c r="P14">
        <v>3</v>
      </c>
      <c r="Q14">
        <v>27</v>
      </c>
      <c r="R14">
        <v>2.5</v>
      </c>
      <c r="S14">
        <v>2</v>
      </c>
      <c r="T14">
        <v>2</v>
      </c>
      <c r="U14">
        <v>28</v>
      </c>
      <c r="V14">
        <v>346.82</v>
      </c>
      <c r="W14">
        <v>140.28</v>
      </c>
      <c r="X14">
        <v>62.07</v>
      </c>
      <c r="Y14">
        <v>21.08</v>
      </c>
      <c r="Z14">
        <v>3.03</v>
      </c>
      <c r="AA14">
        <v>1365.9</v>
      </c>
      <c r="AB14">
        <v>1004.33</v>
      </c>
      <c r="AC14">
        <v>1531</v>
      </c>
    </row>
    <row r="15" spans="1:29" x14ac:dyDescent="0.35">
      <c r="A15" t="s">
        <v>153</v>
      </c>
      <c r="B15">
        <v>2</v>
      </c>
      <c r="C15" t="s">
        <v>158</v>
      </c>
      <c r="H15">
        <v>2.9488449999999999</v>
      </c>
      <c r="I15">
        <v>101.872045</v>
      </c>
      <c r="K15">
        <v>7</v>
      </c>
      <c r="L15">
        <v>55</v>
      </c>
      <c r="M15">
        <v>1227</v>
      </c>
      <c r="N15">
        <v>60</v>
      </c>
      <c r="O15">
        <v>7.5</v>
      </c>
      <c r="P15">
        <v>3.5</v>
      </c>
      <c r="Q15">
        <v>23</v>
      </c>
      <c r="R15">
        <v>3</v>
      </c>
      <c r="S15">
        <v>2</v>
      </c>
      <c r="T15">
        <v>2</v>
      </c>
      <c r="U15">
        <v>29</v>
      </c>
      <c r="V15">
        <v>375.25</v>
      </c>
      <c r="W15">
        <v>146.12</v>
      </c>
      <c r="X15">
        <v>28.9</v>
      </c>
      <c r="Y15">
        <v>9.1300000000000008</v>
      </c>
    </row>
    <row r="16" spans="1:29" x14ac:dyDescent="0.35">
      <c r="A16" t="s">
        <v>153</v>
      </c>
      <c r="B16">
        <v>1</v>
      </c>
      <c r="C16" t="s">
        <v>158</v>
      </c>
      <c r="H16">
        <v>2.9488449999999999</v>
      </c>
      <c r="I16">
        <v>101.872045</v>
      </c>
      <c r="K16">
        <v>7</v>
      </c>
      <c r="L16">
        <v>55</v>
      </c>
      <c r="M16">
        <v>855</v>
      </c>
      <c r="N16">
        <v>51</v>
      </c>
      <c r="O16">
        <v>7.5</v>
      </c>
      <c r="P16">
        <v>3.5</v>
      </c>
      <c r="Q16">
        <v>21</v>
      </c>
      <c r="R16">
        <v>3</v>
      </c>
      <c r="S16">
        <v>2.5</v>
      </c>
      <c r="T16">
        <v>2.5</v>
      </c>
      <c r="U16">
        <v>21</v>
      </c>
      <c r="V16">
        <v>199.03</v>
      </c>
      <c r="W16">
        <v>80.959999999999994</v>
      </c>
      <c r="X16">
        <v>27.3</v>
      </c>
      <c r="Y16">
        <v>7.04</v>
      </c>
      <c r="Z16">
        <v>2.54</v>
      </c>
      <c r="AA16">
        <v>1023.61</v>
      </c>
      <c r="AB16">
        <v>758.99</v>
      </c>
      <c r="AC16">
        <v>1151</v>
      </c>
    </row>
    <row r="17" spans="1:29" x14ac:dyDescent="0.35">
      <c r="A17" t="s">
        <v>153</v>
      </c>
      <c r="B17">
        <v>2</v>
      </c>
      <c r="C17" t="s">
        <v>158</v>
      </c>
      <c r="H17">
        <v>2.9488449999999999</v>
      </c>
      <c r="I17">
        <v>101.872045</v>
      </c>
      <c r="K17">
        <v>7</v>
      </c>
      <c r="L17">
        <v>55</v>
      </c>
      <c r="M17">
        <v>1014</v>
      </c>
      <c r="N17">
        <v>53</v>
      </c>
      <c r="O17">
        <v>6.5</v>
      </c>
      <c r="P17">
        <v>3</v>
      </c>
      <c r="Q17">
        <v>17</v>
      </c>
      <c r="R17">
        <v>2</v>
      </c>
      <c r="S17">
        <v>2</v>
      </c>
      <c r="T17">
        <v>2</v>
      </c>
      <c r="U17">
        <v>13</v>
      </c>
      <c r="V17">
        <v>204.12</v>
      </c>
      <c r="W17">
        <v>74.180000000000007</v>
      </c>
      <c r="X17">
        <v>1.99</v>
      </c>
      <c r="Y17">
        <v>0.56000000000000005</v>
      </c>
    </row>
    <row r="18" spans="1:29" x14ac:dyDescent="0.35">
      <c r="A18" t="s">
        <v>153</v>
      </c>
      <c r="B18">
        <v>1</v>
      </c>
      <c r="C18" t="s">
        <v>158</v>
      </c>
      <c r="H18">
        <v>2.9488449999999999</v>
      </c>
      <c r="I18">
        <v>101.872045</v>
      </c>
      <c r="K18">
        <v>7</v>
      </c>
      <c r="L18">
        <v>55</v>
      </c>
      <c r="M18">
        <v>1026</v>
      </c>
      <c r="N18">
        <v>44</v>
      </c>
      <c r="O18">
        <v>7</v>
      </c>
      <c r="P18">
        <v>4</v>
      </c>
      <c r="Q18">
        <v>25</v>
      </c>
      <c r="R18">
        <v>2</v>
      </c>
      <c r="S18">
        <v>2.5</v>
      </c>
      <c r="T18">
        <v>2.5</v>
      </c>
      <c r="U18">
        <v>30</v>
      </c>
      <c r="V18">
        <v>337.95</v>
      </c>
      <c r="W18">
        <v>125.09</v>
      </c>
      <c r="X18">
        <v>47.12</v>
      </c>
      <c r="Y18">
        <v>13.25</v>
      </c>
      <c r="Z18">
        <v>2.54</v>
      </c>
      <c r="AA18">
        <v>1020.81</v>
      </c>
      <c r="AB18">
        <v>752.22</v>
      </c>
      <c r="AC18">
        <v>1180</v>
      </c>
    </row>
    <row r="19" spans="1:29" x14ac:dyDescent="0.35">
      <c r="A19" t="s">
        <v>153</v>
      </c>
      <c r="B19">
        <v>2</v>
      </c>
      <c r="C19" t="s">
        <v>158</v>
      </c>
      <c r="H19">
        <v>2.9488449999999999</v>
      </c>
      <c r="I19">
        <v>101.872045</v>
      </c>
      <c r="K19">
        <v>7</v>
      </c>
      <c r="L19">
        <v>55</v>
      </c>
      <c r="M19">
        <v>927</v>
      </c>
      <c r="N19">
        <v>48</v>
      </c>
      <c r="O19">
        <v>6.5</v>
      </c>
      <c r="P19">
        <v>3</v>
      </c>
      <c r="Q19">
        <v>22</v>
      </c>
      <c r="R19">
        <v>2.5</v>
      </c>
      <c r="S19">
        <v>2.5</v>
      </c>
      <c r="T19">
        <v>2.5</v>
      </c>
      <c r="U19">
        <v>20</v>
      </c>
      <c r="V19">
        <v>209.22</v>
      </c>
      <c r="W19">
        <v>81.02</v>
      </c>
      <c r="X19">
        <v>10.029999999999999</v>
      </c>
      <c r="Y19">
        <v>2.58</v>
      </c>
    </row>
    <row r="20" spans="1:29" x14ac:dyDescent="0.35">
      <c r="A20" t="s">
        <v>153</v>
      </c>
      <c r="B20">
        <v>1</v>
      </c>
      <c r="C20" t="s">
        <v>159</v>
      </c>
      <c r="H20">
        <v>2.9488449999999999</v>
      </c>
      <c r="I20">
        <v>101.872045</v>
      </c>
      <c r="K20">
        <v>7</v>
      </c>
      <c r="L20">
        <v>55</v>
      </c>
      <c r="M20">
        <v>1095</v>
      </c>
      <c r="N20">
        <v>70</v>
      </c>
      <c r="O20">
        <v>6.5</v>
      </c>
      <c r="P20">
        <v>3.5</v>
      </c>
      <c r="Q20">
        <v>23</v>
      </c>
      <c r="R20">
        <v>2.5</v>
      </c>
      <c r="S20">
        <v>2.5</v>
      </c>
      <c r="T20">
        <v>2.5</v>
      </c>
      <c r="U20">
        <v>42</v>
      </c>
      <c r="V20">
        <v>180.1</v>
      </c>
      <c r="W20">
        <v>179.6</v>
      </c>
      <c r="X20">
        <v>0.51</v>
      </c>
      <c r="Y20">
        <v>37.049999999999997</v>
      </c>
      <c r="Z20">
        <v>3</v>
      </c>
      <c r="AA20">
        <v>1375.46</v>
      </c>
      <c r="AB20">
        <v>1041.8699999999999</v>
      </c>
      <c r="AC20">
        <v>1635</v>
      </c>
    </row>
    <row r="21" spans="1:29" x14ac:dyDescent="0.35">
      <c r="A21" t="s">
        <v>153</v>
      </c>
      <c r="B21">
        <v>2</v>
      </c>
      <c r="C21" t="s">
        <v>159</v>
      </c>
      <c r="H21">
        <v>2.9488449999999999</v>
      </c>
      <c r="I21">
        <v>101.872045</v>
      </c>
      <c r="K21">
        <v>7</v>
      </c>
      <c r="L21">
        <v>55</v>
      </c>
      <c r="M21">
        <v>651</v>
      </c>
      <c r="N21">
        <v>60</v>
      </c>
      <c r="O21">
        <v>8</v>
      </c>
      <c r="P21">
        <v>4</v>
      </c>
      <c r="Q21">
        <v>21</v>
      </c>
      <c r="R21">
        <v>2</v>
      </c>
      <c r="S21">
        <v>2</v>
      </c>
      <c r="T21">
        <v>2</v>
      </c>
      <c r="U21">
        <v>23</v>
      </c>
      <c r="V21">
        <v>205.44</v>
      </c>
      <c r="W21">
        <v>116.37</v>
      </c>
      <c r="X21">
        <v>2.41</v>
      </c>
    </row>
    <row r="22" spans="1:29" x14ac:dyDescent="0.35">
      <c r="A22" t="s">
        <v>153</v>
      </c>
      <c r="B22">
        <v>1</v>
      </c>
      <c r="C22" t="s">
        <v>159</v>
      </c>
      <c r="H22">
        <v>2.9488449999999999</v>
      </c>
      <c r="I22">
        <v>101.872045</v>
      </c>
      <c r="K22">
        <v>7</v>
      </c>
      <c r="L22">
        <v>55</v>
      </c>
      <c r="M22">
        <v>1266</v>
      </c>
      <c r="N22">
        <v>80</v>
      </c>
      <c r="O22">
        <v>7</v>
      </c>
      <c r="P22">
        <v>4</v>
      </c>
      <c r="Q22">
        <v>23</v>
      </c>
      <c r="R22">
        <v>3</v>
      </c>
      <c r="S22">
        <v>3</v>
      </c>
      <c r="T22">
        <v>3</v>
      </c>
      <c r="U22">
        <v>36</v>
      </c>
      <c r="V22">
        <v>388.3</v>
      </c>
      <c r="W22">
        <v>203.62</v>
      </c>
      <c r="X22">
        <v>117.46</v>
      </c>
      <c r="Y22">
        <v>41.67</v>
      </c>
      <c r="Z22">
        <v>4.1100000000000003</v>
      </c>
      <c r="AA22">
        <v>1678.75</v>
      </c>
      <c r="AB22">
        <v>1242.58</v>
      </c>
      <c r="AC22">
        <v>2089</v>
      </c>
    </row>
    <row r="23" spans="1:29" x14ac:dyDescent="0.35">
      <c r="A23" t="s">
        <v>153</v>
      </c>
      <c r="B23">
        <v>2</v>
      </c>
      <c r="C23" t="s">
        <v>159</v>
      </c>
      <c r="H23">
        <v>2.9488449999999999</v>
      </c>
      <c r="I23">
        <v>101.872045</v>
      </c>
      <c r="K23">
        <v>7</v>
      </c>
      <c r="L23">
        <v>55</v>
      </c>
      <c r="M23">
        <v>1008</v>
      </c>
      <c r="N23">
        <v>50</v>
      </c>
      <c r="O23">
        <v>8</v>
      </c>
      <c r="P23">
        <v>3.5</v>
      </c>
      <c r="Q23">
        <v>23</v>
      </c>
      <c r="R23">
        <v>2.5</v>
      </c>
      <c r="S23">
        <v>2</v>
      </c>
      <c r="T23">
        <v>2</v>
      </c>
      <c r="U23">
        <v>23</v>
      </c>
      <c r="V23">
        <v>188.81</v>
      </c>
      <c r="W23">
        <v>90.59</v>
      </c>
      <c r="X23">
        <v>15.34</v>
      </c>
      <c r="Y23">
        <v>4.45</v>
      </c>
    </row>
    <row r="24" spans="1:29" x14ac:dyDescent="0.35">
      <c r="A24" t="s">
        <v>153</v>
      </c>
      <c r="B24">
        <v>1</v>
      </c>
      <c r="C24" t="s">
        <v>159</v>
      </c>
      <c r="H24">
        <v>2.9488449999999999</v>
      </c>
      <c r="I24">
        <v>101.872045</v>
      </c>
      <c r="K24">
        <v>7</v>
      </c>
      <c r="L24">
        <v>58</v>
      </c>
      <c r="M24">
        <v>1263</v>
      </c>
      <c r="N24">
        <v>60</v>
      </c>
      <c r="O24">
        <v>7.5</v>
      </c>
      <c r="P24">
        <v>4</v>
      </c>
      <c r="Q24">
        <v>21</v>
      </c>
      <c r="R24">
        <v>2</v>
      </c>
      <c r="S24">
        <v>2.5</v>
      </c>
      <c r="T24">
        <v>2.5</v>
      </c>
      <c r="U24">
        <v>31</v>
      </c>
      <c r="V24">
        <v>452.04</v>
      </c>
      <c r="W24">
        <v>196.33</v>
      </c>
      <c r="X24">
        <v>51.64</v>
      </c>
      <c r="Y24">
        <v>15.38</v>
      </c>
      <c r="Z24">
        <v>4.5</v>
      </c>
      <c r="AA24">
        <v>1763.47</v>
      </c>
      <c r="AB24">
        <v>1293.1199999999999</v>
      </c>
      <c r="AC24">
        <v>1995</v>
      </c>
    </row>
    <row r="25" spans="1:29" x14ac:dyDescent="0.35">
      <c r="A25" t="s">
        <v>153</v>
      </c>
      <c r="B25">
        <v>2</v>
      </c>
      <c r="C25" t="s">
        <v>159</v>
      </c>
      <c r="H25">
        <v>2.9488449999999999</v>
      </c>
      <c r="I25">
        <v>101.872045</v>
      </c>
      <c r="K25">
        <v>7</v>
      </c>
      <c r="L25">
        <v>58</v>
      </c>
      <c r="M25">
        <v>1518</v>
      </c>
      <c r="N25">
        <v>61</v>
      </c>
      <c r="O25">
        <v>7.5</v>
      </c>
      <c r="P25">
        <v>4</v>
      </c>
      <c r="Q25">
        <v>22</v>
      </c>
      <c r="R25">
        <v>2.5</v>
      </c>
      <c r="S25">
        <v>3</v>
      </c>
      <c r="T25">
        <v>3</v>
      </c>
      <c r="U25">
        <v>39</v>
      </c>
      <c r="V25">
        <v>564.09</v>
      </c>
      <c r="W25">
        <v>252.36</v>
      </c>
      <c r="X25">
        <v>160.86000000000001</v>
      </c>
      <c r="Y25">
        <v>53.34</v>
      </c>
    </row>
    <row r="26" spans="1:29" x14ac:dyDescent="0.35">
      <c r="A26" t="s">
        <v>153</v>
      </c>
      <c r="B26">
        <v>1</v>
      </c>
      <c r="C26" t="s">
        <v>160</v>
      </c>
      <c r="H26">
        <v>2.9488449999999999</v>
      </c>
      <c r="I26">
        <v>101.872045</v>
      </c>
      <c r="K26">
        <v>7</v>
      </c>
      <c r="L26">
        <v>55</v>
      </c>
      <c r="M26">
        <v>729</v>
      </c>
      <c r="N26">
        <v>51</v>
      </c>
      <c r="O26">
        <v>7.5</v>
      </c>
      <c r="P26">
        <v>3.5</v>
      </c>
      <c r="Q26">
        <v>23</v>
      </c>
      <c r="R26">
        <v>2.5</v>
      </c>
      <c r="S26">
        <v>3.5</v>
      </c>
      <c r="T26">
        <v>3.5</v>
      </c>
      <c r="U26">
        <v>14</v>
      </c>
      <c r="V26">
        <v>226.31</v>
      </c>
      <c r="W26">
        <v>87.22</v>
      </c>
      <c r="X26">
        <v>25.16</v>
      </c>
      <c r="Y26">
        <v>6.17</v>
      </c>
      <c r="Z26">
        <v>2.5099999999999998</v>
      </c>
      <c r="AA26">
        <v>1023.98</v>
      </c>
      <c r="AB26">
        <v>737.81</v>
      </c>
      <c r="AC26">
        <v>1210</v>
      </c>
    </row>
    <row r="27" spans="1:29" x14ac:dyDescent="0.35">
      <c r="A27" t="s">
        <v>153</v>
      </c>
      <c r="B27">
        <v>2</v>
      </c>
      <c r="C27" t="s">
        <v>160</v>
      </c>
      <c r="H27">
        <v>2.9488449999999999</v>
      </c>
      <c r="I27">
        <v>101.872045</v>
      </c>
      <c r="K27">
        <v>7</v>
      </c>
      <c r="L27">
        <v>55</v>
      </c>
      <c r="M27">
        <v>1143</v>
      </c>
      <c r="N27">
        <v>47</v>
      </c>
      <c r="O27">
        <v>6.5</v>
      </c>
      <c r="P27">
        <v>3</v>
      </c>
      <c r="Q27">
        <v>22</v>
      </c>
      <c r="R27">
        <v>3</v>
      </c>
      <c r="U27">
        <v>15</v>
      </c>
      <c r="V27">
        <v>282.81</v>
      </c>
      <c r="W27">
        <v>89.29</v>
      </c>
    </row>
    <row r="28" spans="1:29" x14ac:dyDescent="0.35">
      <c r="A28" t="s">
        <v>153</v>
      </c>
      <c r="B28">
        <v>1</v>
      </c>
      <c r="C28" t="s">
        <v>160</v>
      </c>
      <c r="H28">
        <v>2.9488449999999999</v>
      </c>
      <c r="I28">
        <v>101.872045</v>
      </c>
      <c r="K28">
        <v>7</v>
      </c>
      <c r="L28">
        <v>55</v>
      </c>
      <c r="M28">
        <v>642</v>
      </c>
      <c r="N28">
        <v>47</v>
      </c>
      <c r="O28">
        <v>6</v>
      </c>
      <c r="P28">
        <v>3.5</v>
      </c>
      <c r="Q28">
        <v>21</v>
      </c>
      <c r="R28">
        <v>2.5</v>
      </c>
      <c r="S28">
        <v>3</v>
      </c>
      <c r="T28">
        <v>3</v>
      </c>
      <c r="U28">
        <v>12</v>
      </c>
      <c r="V28">
        <v>143.66999999999999</v>
      </c>
      <c r="W28">
        <v>67.19</v>
      </c>
      <c r="X28">
        <v>6</v>
      </c>
      <c r="Y28">
        <v>1.81</v>
      </c>
      <c r="Z28">
        <v>2.2200000000000002</v>
      </c>
      <c r="AA28">
        <v>991.18</v>
      </c>
      <c r="AB28">
        <v>730.67</v>
      </c>
      <c r="AC28">
        <v>1121</v>
      </c>
    </row>
    <row r="29" spans="1:29" x14ac:dyDescent="0.35">
      <c r="A29" t="s">
        <v>153</v>
      </c>
      <c r="B29">
        <v>2</v>
      </c>
      <c r="C29" t="s">
        <v>160</v>
      </c>
      <c r="H29">
        <v>2.9488449999999999</v>
      </c>
      <c r="I29">
        <v>101.872045</v>
      </c>
      <c r="K29">
        <v>7</v>
      </c>
      <c r="L29">
        <v>55</v>
      </c>
      <c r="M29">
        <v>636</v>
      </c>
      <c r="N29">
        <v>51</v>
      </c>
      <c r="O29">
        <v>7</v>
      </c>
      <c r="P29">
        <v>3.5</v>
      </c>
      <c r="Q29">
        <v>22</v>
      </c>
      <c r="R29">
        <v>3</v>
      </c>
      <c r="S29">
        <v>3.5</v>
      </c>
      <c r="T29">
        <v>3.5</v>
      </c>
      <c r="U29">
        <v>14</v>
      </c>
      <c r="V29">
        <v>249.58</v>
      </c>
      <c r="W29">
        <v>115.61</v>
      </c>
      <c r="X29">
        <v>16.21</v>
      </c>
      <c r="Y29">
        <v>5</v>
      </c>
    </row>
    <row r="30" spans="1:29" x14ac:dyDescent="0.35">
      <c r="A30" t="s">
        <v>153</v>
      </c>
      <c r="B30">
        <v>1</v>
      </c>
      <c r="C30" t="s">
        <v>160</v>
      </c>
      <c r="H30">
        <v>2.9488449999999999</v>
      </c>
      <c r="I30">
        <v>101.872045</v>
      </c>
      <c r="K30">
        <v>7</v>
      </c>
      <c r="L30">
        <v>55</v>
      </c>
      <c r="M30">
        <v>549</v>
      </c>
      <c r="N30">
        <v>36</v>
      </c>
      <c r="O30">
        <v>5.5</v>
      </c>
      <c r="P30">
        <v>3</v>
      </c>
      <c r="Q30">
        <v>21</v>
      </c>
      <c r="R30">
        <v>2.5</v>
      </c>
      <c r="S30">
        <v>3</v>
      </c>
      <c r="T30">
        <v>3</v>
      </c>
      <c r="U30">
        <v>16</v>
      </c>
      <c r="V30">
        <v>157.77000000000001</v>
      </c>
      <c r="W30">
        <v>63.89</v>
      </c>
      <c r="X30">
        <v>6.94</v>
      </c>
      <c r="Y30">
        <v>1.77</v>
      </c>
      <c r="Z30">
        <v>2.66</v>
      </c>
      <c r="AA30">
        <v>727.58</v>
      </c>
      <c r="AB30">
        <v>490.09</v>
      </c>
      <c r="AC30">
        <v>967</v>
      </c>
    </row>
    <row r="31" spans="1:29" x14ac:dyDescent="0.35">
      <c r="A31" t="s">
        <v>153</v>
      </c>
      <c r="B31">
        <v>2</v>
      </c>
      <c r="C31" t="s">
        <v>160</v>
      </c>
      <c r="H31">
        <v>2.9488449999999999</v>
      </c>
      <c r="I31">
        <v>101.872045</v>
      </c>
      <c r="K31">
        <v>7</v>
      </c>
      <c r="L31">
        <v>55</v>
      </c>
      <c r="M31">
        <v>828</v>
      </c>
      <c r="N31">
        <v>40</v>
      </c>
      <c r="O31">
        <v>7</v>
      </c>
      <c r="P31">
        <v>4</v>
      </c>
      <c r="Q31">
        <v>21</v>
      </c>
      <c r="R31">
        <v>3</v>
      </c>
      <c r="S31">
        <v>3.5</v>
      </c>
      <c r="T31">
        <v>3.5</v>
      </c>
      <c r="U31">
        <v>16</v>
      </c>
      <c r="V31">
        <v>225.4</v>
      </c>
      <c r="W31">
        <v>79.819999999999993</v>
      </c>
      <c r="X31">
        <v>15.7</v>
      </c>
      <c r="Y31">
        <v>4.6500000000000004</v>
      </c>
    </row>
    <row r="32" spans="1:29" x14ac:dyDescent="0.35">
      <c r="A32" t="s">
        <v>154</v>
      </c>
      <c r="B32">
        <v>1</v>
      </c>
      <c r="C32" t="s">
        <v>156</v>
      </c>
      <c r="H32">
        <v>2.9488449999999999</v>
      </c>
      <c r="I32">
        <v>101.872045</v>
      </c>
      <c r="K32">
        <v>7</v>
      </c>
      <c r="L32">
        <v>44</v>
      </c>
      <c r="M32">
        <v>726</v>
      </c>
      <c r="N32">
        <v>50</v>
      </c>
      <c r="O32">
        <v>8</v>
      </c>
      <c r="P32">
        <v>4</v>
      </c>
      <c r="Q32">
        <v>27</v>
      </c>
      <c r="R32">
        <v>2.5</v>
      </c>
      <c r="S32">
        <v>28</v>
      </c>
      <c r="T32">
        <v>4.5</v>
      </c>
      <c r="U32">
        <v>22</v>
      </c>
      <c r="V32">
        <v>289.56</v>
      </c>
      <c r="W32">
        <v>147.72</v>
      </c>
      <c r="X32">
        <v>67.05</v>
      </c>
      <c r="Y32">
        <v>16.28</v>
      </c>
      <c r="Z32">
        <v>6.34</v>
      </c>
      <c r="AA32">
        <v>2200.08</v>
      </c>
      <c r="AB32">
        <v>1609.12</v>
      </c>
      <c r="AC32">
        <v>2692</v>
      </c>
    </row>
    <row r="33" spans="1:29" x14ac:dyDescent="0.35">
      <c r="A33" t="s">
        <v>154</v>
      </c>
      <c r="B33">
        <v>2</v>
      </c>
      <c r="C33" t="s">
        <v>156</v>
      </c>
      <c r="H33">
        <v>2.9488449999999999</v>
      </c>
      <c r="I33">
        <v>101.872045</v>
      </c>
      <c r="K33">
        <v>7</v>
      </c>
      <c r="L33">
        <v>44</v>
      </c>
      <c r="M33">
        <v>636</v>
      </c>
      <c r="N33">
        <v>47</v>
      </c>
      <c r="O33">
        <v>8.5</v>
      </c>
      <c r="P33">
        <v>4</v>
      </c>
      <c r="Q33">
        <v>30</v>
      </c>
      <c r="R33">
        <v>2.5</v>
      </c>
      <c r="S33">
        <v>24</v>
      </c>
      <c r="T33">
        <v>3</v>
      </c>
      <c r="U33">
        <v>14</v>
      </c>
      <c r="V33">
        <v>219.92</v>
      </c>
      <c r="W33">
        <v>129.51</v>
      </c>
      <c r="X33">
        <v>25.15</v>
      </c>
      <c r="Y33">
        <v>7.28</v>
      </c>
    </row>
    <row r="34" spans="1:29" x14ac:dyDescent="0.35">
      <c r="A34" t="s">
        <v>154</v>
      </c>
      <c r="B34">
        <v>1</v>
      </c>
      <c r="C34" t="s">
        <v>156</v>
      </c>
      <c r="H34">
        <v>2.9488449999999999</v>
      </c>
      <c r="I34">
        <v>101.872045</v>
      </c>
      <c r="K34">
        <v>7</v>
      </c>
      <c r="L34">
        <v>47</v>
      </c>
      <c r="M34">
        <v>249</v>
      </c>
      <c r="N34">
        <v>34</v>
      </c>
      <c r="O34">
        <v>8</v>
      </c>
      <c r="P34">
        <v>2.5</v>
      </c>
      <c r="Q34">
        <v>22</v>
      </c>
      <c r="R34">
        <v>2</v>
      </c>
      <c r="S34">
        <v>21.5</v>
      </c>
      <c r="T34">
        <v>3.3</v>
      </c>
      <c r="U34">
        <v>10</v>
      </c>
      <c r="V34">
        <v>54.25</v>
      </c>
      <c r="W34">
        <v>35.090000000000003</v>
      </c>
      <c r="X34">
        <v>69.599999999999994</v>
      </c>
      <c r="Y34">
        <v>21.39</v>
      </c>
      <c r="Z34">
        <v>7.21</v>
      </c>
      <c r="AA34">
        <v>2738.41</v>
      </c>
      <c r="AB34">
        <v>1813.49</v>
      </c>
      <c r="AC34">
        <v>2628</v>
      </c>
    </row>
    <row r="35" spans="1:29" x14ac:dyDescent="0.35">
      <c r="A35" t="s">
        <v>154</v>
      </c>
      <c r="B35">
        <v>2</v>
      </c>
      <c r="C35" t="s">
        <v>156</v>
      </c>
      <c r="H35">
        <v>2.9488449999999999</v>
      </c>
      <c r="I35">
        <v>101.872045</v>
      </c>
      <c r="K35">
        <v>7</v>
      </c>
      <c r="L35">
        <v>47</v>
      </c>
      <c r="M35">
        <v>441</v>
      </c>
      <c r="N35">
        <v>47</v>
      </c>
      <c r="O35">
        <v>8.5</v>
      </c>
      <c r="P35">
        <v>4</v>
      </c>
      <c r="Q35">
        <v>25</v>
      </c>
      <c r="R35">
        <v>2.5</v>
      </c>
      <c r="S35">
        <v>20.5</v>
      </c>
      <c r="T35">
        <v>4</v>
      </c>
      <c r="U35">
        <v>13</v>
      </c>
      <c r="V35">
        <v>160.16999999999999</v>
      </c>
      <c r="W35">
        <v>87.3</v>
      </c>
      <c r="X35">
        <v>41.12</v>
      </c>
      <c r="Y35">
        <v>11.79</v>
      </c>
    </row>
    <row r="36" spans="1:29" x14ac:dyDescent="0.35">
      <c r="A36" t="s">
        <v>154</v>
      </c>
      <c r="B36">
        <v>1</v>
      </c>
      <c r="C36" t="s">
        <v>156</v>
      </c>
      <c r="H36">
        <v>2.9488449999999999</v>
      </c>
      <c r="I36">
        <v>101.872045</v>
      </c>
      <c r="K36">
        <v>7</v>
      </c>
      <c r="L36">
        <v>47</v>
      </c>
      <c r="M36">
        <v>642</v>
      </c>
      <c r="N36">
        <v>50</v>
      </c>
      <c r="O36">
        <v>9.5</v>
      </c>
      <c r="P36">
        <v>3</v>
      </c>
      <c r="Q36">
        <v>24</v>
      </c>
      <c r="R36">
        <v>2</v>
      </c>
      <c r="S36">
        <v>22.5</v>
      </c>
      <c r="T36">
        <v>3.5</v>
      </c>
      <c r="U36">
        <v>22</v>
      </c>
      <c r="V36">
        <v>166.54</v>
      </c>
      <c r="W36">
        <v>96.69</v>
      </c>
      <c r="X36">
        <v>56.58</v>
      </c>
      <c r="Y36">
        <v>12.01</v>
      </c>
      <c r="Z36">
        <v>7.15</v>
      </c>
      <c r="AA36">
        <v>2687.94</v>
      </c>
      <c r="AB36">
        <v>1904.51</v>
      </c>
      <c r="AC36">
        <v>2647</v>
      </c>
    </row>
    <row r="37" spans="1:29" x14ac:dyDescent="0.35">
      <c r="A37" t="s">
        <v>154</v>
      </c>
      <c r="B37">
        <v>2</v>
      </c>
      <c r="C37" t="s">
        <v>156</v>
      </c>
      <c r="H37">
        <v>2.9488449999999999</v>
      </c>
      <c r="I37">
        <v>101.872045</v>
      </c>
      <c r="K37">
        <v>7</v>
      </c>
      <c r="L37">
        <v>47</v>
      </c>
      <c r="M37">
        <v>408</v>
      </c>
      <c r="N37">
        <v>51</v>
      </c>
      <c r="O37">
        <v>8.5</v>
      </c>
      <c r="P37">
        <v>3.5</v>
      </c>
      <c r="Q37">
        <v>24</v>
      </c>
      <c r="R37">
        <v>2.5</v>
      </c>
      <c r="S37">
        <v>23</v>
      </c>
      <c r="T37">
        <v>3.3</v>
      </c>
      <c r="U37">
        <v>12</v>
      </c>
      <c r="V37">
        <v>143.96</v>
      </c>
      <c r="W37">
        <v>59.9</v>
      </c>
      <c r="X37">
        <v>105.09</v>
      </c>
      <c r="Y37">
        <v>27.21</v>
      </c>
    </row>
    <row r="38" spans="1:29" x14ac:dyDescent="0.35">
      <c r="A38" t="s">
        <v>154</v>
      </c>
      <c r="B38">
        <v>1</v>
      </c>
      <c r="C38" t="s">
        <v>157</v>
      </c>
      <c r="H38">
        <v>2.9488449999999999</v>
      </c>
      <c r="I38">
        <v>101.872045</v>
      </c>
      <c r="K38">
        <v>7</v>
      </c>
      <c r="L38">
        <v>44</v>
      </c>
      <c r="M38">
        <v>318</v>
      </c>
      <c r="N38">
        <v>41</v>
      </c>
      <c r="O38">
        <v>8.5</v>
      </c>
      <c r="P38">
        <v>3</v>
      </c>
      <c r="Q38">
        <v>22</v>
      </c>
      <c r="R38">
        <v>2</v>
      </c>
      <c r="S38">
        <v>21.5</v>
      </c>
      <c r="T38">
        <v>4</v>
      </c>
      <c r="U38">
        <v>7</v>
      </c>
      <c r="V38">
        <v>114.06</v>
      </c>
      <c r="W38">
        <v>69.75</v>
      </c>
      <c r="X38">
        <v>21.76</v>
      </c>
      <c r="Y38">
        <v>4.87</v>
      </c>
      <c r="Z38">
        <v>4.0199999999999996</v>
      </c>
      <c r="AA38">
        <v>1209.3699999999999</v>
      </c>
      <c r="AB38">
        <v>839.83</v>
      </c>
      <c r="AC38">
        <v>1621</v>
      </c>
    </row>
    <row r="39" spans="1:29" x14ac:dyDescent="0.35">
      <c r="A39" t="s">
        <v>154</v>
      </c>
      <c r="B39">
        <v>2</v>
      </c>
      <c r="C39" t="s">
        <v>157</v>
      </c>
      <c r="H39">
        <v>2.9488449999999999</v>
      </c>
      <c r="I39">
        <v>101.872045</v>
      </c>
      <c r="K39">
        <v>7</v>
      </c>
      <c r="L39">
        <v>44</v>
      </c>
      <c r="M39">
        <v>414</v>
      </c>
      <c r="N39">
        <v>43</v>
      </c>
      <c r="O39">
        <v>9</v>
      </c>
      <c r="P39">
        <v>3</v>
      </c>
      <c r="Q39">
        <v>22</v>
      </c>
      <c r="R39">
        <v>2.5</v>
      </c>
      <c r="S39">
        <v>23</v>
      </c>
      <c r="T39">
        <v>7</v>
      </c>
      <c r="U39">
        <v>14</v>
      </c>
      <c r="V39">
        <v>173.21</v>
      </c>
      <c r="W39">
        <v>59.79</v>
      </c>
      <c r="X39">
        <v>116.19</v>
      </c>
      <c r="Y39">
        <v>25.29</v>
      </c>
    </row>
    <row r="40" spans="1:29" x14ac:dyDescent="0.35">
      <c r="A40" t="s">
        <v>154</v>
      </c>
      <c r="B40">
        <v>1</v>
      </c>
      <c r="C40" t="s">
        <v>157</v>
      </c>
      <c r="H40">
        <v>2.9488449999999999</v>
      </c>
      <c r="I40">
        <v>101.872045</v>
      </c>
      <c r="K40">
        <v>7</v>
      </c>
      <c r="L40">
        <v>44</v>
      </c>
      <c r="M40">
        <v>351</v>
      </c>
      <c r="N40">
        <v>40</v>
      </c>
      <c r="O40">
        <v>8</v>
      </c>
      <c r="P40">
        <v>3</v>
      </c>
      <c r="Q40">
        <v>23</v>
      </c>
      <c r="R40">
        <v>2</v>
      </c>
      <c r="S40">
        <v>24</v>
      </c>
      <c r="T40">
        <v>4</v>
      </c>
      <c r="U40">
        <v>14</v>
      </c>
      <c r="V40">
        <v>168.97</v>
      </c>
      <c r="W40">
        <v>105.1</v>
      </c>
      <c r="X40">
        <v>43.11</v>
      </c>
      <c r="Y40">
        <v>11.42</v>
      </c>
      <c r="Z40">
        <v>4.5199999999999996</v>
      </c>
      <c r="AA40">
        <v>1512.66</v>
      </c>
      <c r="AB40">
        <v>1099.96</v>
      </c>
      <c r="AC40">
        <v>1907</v>
      </c>
    </row>
    <row r="41" spans="1:29" x14ac:dyDescent="0.35">
      <c r="A41" t="s">
        <v>154</v>
      </c>
      <c r="B41">
        <v>2</v>
      </c>
      <c r="C41" t="s">
        <v>157</v>
      </c>
      <c r="H41">
        <v>2.9488449999999999</v>
      </c>
      <c r="I41">
        <v>101.872045</v>
      </c>
      <c r="K41">
        <v>7</v>
      </c>
      <c r="L41">
        <v>44</v>
      </c>
      <c r="M41">
        <v>534</v>
      </c>
      <c r="N41">
        <v>51</v>
      </c>
      <c r="O41">
        <v>9.5</v>
      </c>
      <c r="P41">
        <v>3</v>
      </c>
      <c r="Q41">
        <v>24</v>
      </c>
      <c r="R41">
        <v>2.5</v>
      </c>
      <c r="S41">
        <v>22.5</v>
      </c>
      <c r="T41">
        <v>4</v>
      </c>
      <c r="U41">
        <v>19</v>
      </c>
      <c r="V41">
        <v>273.52</v>
      </c>
      <c r="W41">
        <v>116.11</v>
      </c>
      <c r="X41">
        <v>40.119999999999997</v>
      </c>
      <c r="Y41">
        <v>14.55</v>
      </c>
    </row>
    <row r="42" spans="1:29" x14ac:dyDescent="0.35">
      <c r="A42" t="s">
        <v>154</v>
      </c>
      <c r="B42">
        <v>1</v>
      </c>
      <c r="C42" t="s">
        <v>157</v>
      </c>
      <c r="H42">
        <v>2.9488449999999999</v>
      </c>
      <c r="I42">
        <v>101.872045</v>
      </c>
      <c r="K42">
        <v>7</v>
      </c>
      <c r="L42">
        <v>44</v>
      </c>
      <c r="M42">
        <v>564</v>
      </c>
      <c r="N42">
        <v>46</v>
      </c>
      <c r="O42">
        <v>8.5</v>
      </c>
      <c r="P42">
        <v>3.5</v>
      </c>
      <c r="Q42">
        <v>22</v>
      </c>
      <c r="R42">
        <v>2.5</v>
      </c>
      <c r="S42">
        <v>24</v>
      </c>
      <c r="T42">
        <v>4.5</v>
      </c>
      <c r="U42">
        <v>25</v>
      </c>
      <c r="V42">
        <v>260.76</v>
      </c>
      <c r="W42">
        <v>94.91</v>
      </c>
      <c r="X42">
        <v>16.55</v>
      </c>
      <c r="Y42">
        <v>2.4300000000000002</v>
      </c>
      <c r="Z42">
        <v>6.35</v>
      </c>
      <c r="AA42">
        <v>2111.56</v>
      </c>
      <c r="AB42">
        <v>1449.89</v>
      </c>
      <c r="AC42">
        <v>2100</v>
      </c>
    </row>
    <row r="43" spans="1:29" x14ac:dyDescent="0.35">
      <c r="A43" t="s">
        <v>154</v>
      </c>
      <c r="B43">
        <v>2</v>
      </c>
      <c r="C43" t="s">
        <v>157</v>
      </c>
      <c r="H43">
        <v>2.9488449999999999</v>
      </c>
      <c r="I43">
        <v>101.872045</v>
      </c>
      <c r="K43">
        <v>7</v>
      </c>
      <c r="L43">
        <v>44</v>
      </c>
      <c r="M43">
        <v>672</v>
      </c>
      <c r="N43">
        <v>47</v>
      </c>
      <c r="O43">
        <v>7.5</v>
      </c>
      <c r="P43">
        <v>3.5</v>
      </c>
      <c r="Q43">
        <v>20</v>
      </c>
      <c r="R43">
        <v>2</v>
      </c>
      <c r="S43">
        <v>23</v>
      </c>
      <c r="T43">
        <v>3.5</v>
      </c>
      <c r="U43">
        <v>27</v>
      </c>
      <c r="V43">
        <v>297.64</v>
      </c>
      <c r="W43">
        <v>113.72</v>
      </c>
      <c r="X43">
        <v>14.03</v>
      </c>
      <c r="Y43">
        <v>3.45</v>
      </c>
    </row>
    <row r="44" spans="1:29" x14ac:dyDescent="0.35">
      <c r="A44" t="s">
        <v>154</v>
      </c>
      <c r="B44">
        <v>1</v>
      </c>
      <c r="C44" t="s">
        <v>158</v>
      </c>
      <c r="H44">
        <v>2.9488449999999999</v>
      </c>
      <c r="I44">
        <v>101.872045</v>
      </c>
      <c r="K44">
        <v>7</v>
      </c>
      <c r="L44">
        <v>44</v>
      </c>
      <c r="M44">
        <v>636</v>
      </c>
      <c r="N44">
        <v>45</v>
      </c>
      <c r="O44">
        <v>8</v>
      </c>
      <c r="P44">
        <v>3</v>
      </c>
      <c r="Q44">
        <v>22</v>
      </c>
      <c r="R44">
        <v>2</v>
      </c>
      <c r="S44">
        <v>20.5</v>
      </c>
      <c r="U44">
        <v>21</v>
      </c>
      <c r="V44">
        <v>249.38</v>
      </c>
      <c r="W44">
        <v>94.08</v>
      </c>
      <c r="Z44">
        <v>5.5</v>
      </c>
      <c r="AA44">
        <v>2022.02</v>
      </c>
      <c r="AB44">
        <v>1410.61</v>
      </c>
      <c r="AC44">
        <v>2040</v>
      </c>
    </row>
    <row r="45" spans="1:29" x14ac:dyDescent="0.35">
      <c r="A45" t="s">
        <v>154</v>
      </c>
      <c r="B45">
        <v>2</v>
      </c>
      <c r="C45" t="s">
        <v>158</v>
      </c>
      <c r="H45">
        <v>2.9488449999999999</v>
      </c>
      <c r="I45">
        <v>101.872045</v>
      </c>
      <c r="K45">
        <v>7</v>
      </c>
      <c r="L45">
        <v>44</v>
      </c>
      <c r="M45">
        <v>522</v>
      </c>
      <c r="N45">
        <v>57</v>
      </c>
      <c r="O45">
        <v>7.5</v>
      </c>
      <c r="P45">
        <v>4</v>
      </c>
      <c r="Q45">
        <v>18</v>
      </c>
      <c r="R45">
        <v>2.5</v>
      </c>
      <c r="S45">
        <v>24</v>
      </c>
      <c r="T45">
        <v>5</v>
      </c>
      <c r="U45">
        <v>21</v>
      </c>
      <c r="V45">
        <v>199.97</v>
      </c>
      <c r="W45">
        <v>77.38</v>
      </c>
      <c r="X45">
        <v>32.81</v>
      </c>
      <c r="Y45">
        <v>7.38</v>
      </c>
    </row>
    <row r="46" spans="1:29" x14ac:dyDescent="0.35">
      <c r="A46" t="s">
        <v>154</v>
      </c>
      <c r="B46">
        <v>1</v>
      </c>
      <c r="C46" t="s">
        <v>158</v>
      </c>
      <c r="H46">
        <v>2.9488449999999999</v>
      </c>
      <c r="I46">
        <v>101.872045</v>
      </c>
      <c r="K46">
        <v>7</v>
      </c>
      <c r="L46">
        <v>47</v>
      </c>
      <c r="M46">
        <v>555</v>
      </c>
      <c r="N46">
        <v>40</v>
      </c>
      <c r="O46">
        <v>8.5</v>
      </c>
      <c r="P46">
        <v>2.5</v>
      </c>
      <c r="Q46">
        <v>23</v>
      </c>
      <c r="R46">
        <v>2.5</v>
      </c>
      <c r="S46">
        <v>20</v>
      </c>
      <c r="T46">
        <v>5</v>
      </c>
      <c r="U46">
        <v>24</v>
      </c>
      <c r="V46">
        <v>200.09</v>
      </c>
      <c r="W46">
        <v>80.150000000000006</v>
      </c>
      <c r="X46">
        <v>43.38</v>
      </c>
      <c r="Y46">
        <v>9.27</v>
      </c>
      <c r="Z46">
        <v>6.29</v>
      </c>
      <c r="AA46">
        <v>2024.01</v>
      </c>
      <c r="AB46">
        <v>1371.1</v>
      </c>
      <c r="AC46">
        <v>2277</v>
      </c>
    </row>
    <row r="47" spans="1:29" x14ac:dyDescent="0.35">
      <c r="A47" t="s">
        <v>154</v>
      </c>
      <c r="B47">
        <v>2</v>
      </c>
      <c r="C47" t="s">
        <v>158</v>
      </c>
      <c r="H47">
        <v>2.9488449999999999</v>
      </c>
      <c r="I47">
        <v>101.872045</v>
      </c>
      <c r="K47">
        <v>7</v>
      </c>
      <c r="L47">
        <v>47</v>
      </c>
      <c r="M47">
        <v>693</v>
      </c>
      <c r="N47">
        <v>46</v>
      </c>
      <c r="O47">
        <v>8.5</v>
      </c>
      <c r="P47">
        <v>2.5</v>
      </c>
      <c r="Q47">
        <v>23</v>
      </c>
      <c r="R47">
        <v>2.5</v>
      </c>
      <c r="S47">
        <v>22.5</v>
      </c>
      <c r="T47">
        <v>3.5</v>
      </c>
      <c r="U47">
        <v>21</v>
      </c>
      <c r="V47">
        <v>265.29000000000002</v>
      </c>
      <c r="W47">
        <v>113.8</v>
      </c>
      <c r="X47">
        <v>134.88999999999999</v>
      </c>
      <c r="Y47">
        <v>39.869999999999997</v>
      </c>
    </row>
    <row r="48" spans="1:29" x14ac:dyDescent="0.35">
      <c r="A48" t="s">
        <v>154</v>
      </c>
      <c r="B48">
        <v>1</v>
      </c>
      <c r="C48" t="s">
        <v>158</v>
      </c>
      <c r="H48">
        <v>2.9488449999999999</v>
      </c>
      <c r="I48">
        <v>101.872045</v>
      </c>
      <c r="K48">
        <v>7</v>
      </c>
      <c r="L48">
        <v>44</v>
      </c>
      <c r="M48">
        <v>786</v>
      </c>
      <c r="N48">
        <v>56</v>
      </c>
      <c r="O48">
        <v>10</v>
      </c>
      <c r="P48">
        <v>3</v>
      </c>
      <c r="Q48">
        <v>26</v>
      </c>
      <c r="R48">
        <v>2.5</v>
      </c>
      <c r="S48">
        <v>23</v>
      </c>
      <c r="T48">
        <v>3.5</v>
      </c>
      <c r="U48">
        <v>26</v>
      </c>
      <c r="V48">
        <v>378.83</v>
      </c>
      <c r="W48">
        <v>143.83000000000001</v>
      </c>
      <c r="X48">
        <v>48.81</v>
      </c>
      <c r="Y48">
        <v>12.94</v>
      </c>
      <c r="Z48">
        <v>6.07</v>
      </c>
      <c r="AA48">
        <v>1964.34</v>
      </c>
      <c r="AB48">
        <v>1405.28</v>
      </c>
      <c r="AC48">
        <v>1856</v>
      </c>
    </row>
    <row r="49" spans="1:29" x14ac:dyDescent="0.35">
      <c r="A49" t="s">
        <v>154</v>
      </c>
      <c r="B49">
        <v>2</v>
      </c>
      <c r="C49" t="s">
        <v>158</v>
      </c>
      <c r="H49">
        <v>2.9488449999999999</v>
      </c>
      <c r="I49">
        <v>101.872045</v>
      </c>
      <c r="K49">
        <v>7</v>
      </c>
      <c r="L49">
        <v>44</v>
      </c>
      <c r="M49">
        <v>699</v>
      </c>
      <c r="N49">
        <v>47</v>
      </c>
      <c r="O49">
        <v>9</v>
      </c>
      <c r="P49">
        <v>3.5</v>
      </c>
      <c r="Q49">
        <v>20</v>
      </c>
      <c r="R49">
        <v>2.5</v>
      </c>
      <c r="S49">
        <v>23</v>
      </c>
      <c r="T49">
        <v>4</v>
      </c>
      <c r="U49">
        <v>27</v>
      </c>
      <c r="V49">
        <v>344.95</v>
      </c>
      <c r="W49">
        <v>134.36000000000001</v>
      </c>
      <c r="X49">
        <v>124.12</v>
      </c>
      <c r="Y49">
        <v>38.71</v>
      </c>
    </row>
    <row r="50" spans="1:29" x14ac:dyDescent="0.35">
      <c r="A50" t="s">
        <v>154</v>
      </c>
      <c r="B50">
        <v>1</v>
      </c>
      <c r="C50" t="s">
        <v>159</v>
      </c>
      <c r="H50">
        <v>2.9488449999999999</v>
      </c>
      <c r="I50">
        <v>101.872045</v>
      </c>
      <c r="K50">
        <v>7</v>
      </c>
      <c r="L50">
        <v>47</v>
      </c>
      <c r="M50">
        <v>597</v>
      </c>
      <c r="N50">
        <v>50</v>
      </c>
      <c r="O50">
        <v>9.5</v>
      </c>
      <c r="P50">
        <v>3.5</v>
      </c>
      <c r="Q50">
        <v>22</v>
      </c>
      <c r="R50">
        <v>2.5</v>
      </c>
      <c r="S50">
        <v>21.5</v>
      </c>
      <c r="T50">
        <v>4.5</v>
      </c>
      <c r="U50">
        <v>26</v>
      </c>
      <c r="V50">
        <v>308.43</v>
      </c>
      <c r="W50">
        <v>136.59</v>
      </c>
      <c r="X50">
        <v>128.34</v>
      </c>
      <c r="Y50">
        <v>35.049999999999997</v>
      </c>
      <c r="Z50">
        <v>8.58</v>
      </c>
      <c r="AA50">
        <v>3020.07</v>
      </c>
      <c r="AB50">
        <v>2102.25</v>
      </c>
      <c r="AC50">
        <v>2870</v>
      </c>
    </row>
    <row r="51" spans="1:29" x14ac:dyDescent="0.35">
      <c r="A51" t="s">
        <v>154</v>
      </c>
      <c r="B51">
        <v>2</v>
      </c>
      <c r="C51" t="s">
        <v>159</v>
      </c>
      <c r="H51">
        <v>2.9488449999999999</v>
      </c>
      <c r="I51">
        <v>101.872045</v>
      </c>
      <c r="K51">
        <v>7</v>
      </c>
      <c r="L51">
        <v>47</v>
      </c>
      <c r="M51">
        <v>591</v>
      </c>
      <c r="N51">
        <v>56</v>
      </c>
      <c r="O51">
        <v>10</v>
      </c>
      <c r="P51">
        <v>3.5</v>
      </c>
      <c r="Q51">
        <v>25</v>
      </c>
      <c r="R51">
        <v>2</v>
      </c>
      <c r="S51">
        <v>20.5</v>
      </c>
      <c r="T51">
        <v>4</v>
      </c>
      <c r="U51">
        <v>30</v>
      </c>
      <c r="V51">
        <v>232.56</v>
      </c>
      <c r="W51">
        <v>101.85</v>
      </c>
      <c r="X51">
        <v>150.38</v>
      </c>
      <c r="Y51">
        <v>38.64</v>
      </c>
    </row>
    <row r="52" spans="1:29" x14ac:dyDescent="0.35">
      <c r="A52" t="s">
        <v>154</v>
      </c>
      <c r="B52">
        <v>1</v>
      </c>
      <c r="C52" t="s">
        <v>159</v>
      </c>
      <c r="H52">
        <v>2.9488449999999999</v>
      </c>
      <c r="I52">
        <v>101.872045</v>
      </c>
      <c r="K52">
        <v>7</v>
      </c>
      <c r="L52">
        <v>47</v>
      </c>
      <c r="M52">
        <v>588</v>
      </c>
      <c r="N52">
        <v>50</v>
      </c>
      <c r="O52">
        <v>8</v>
      </c>
      <c r="P52">
        <v>3.5</v>
      </c>
      <c r="Q52">
        <v>22</v>
      </c>
      <c r="R52">
        <v>1.5</v>
      </c>
      <c r="S52">
        <v>24.5</v>
      </c>
      <c r="T52">
        <v>4.5</v>
      </c>
      <c r="U52">
        <v>27</v>
      </c>
      <c r="V52">
        <v>218.33</v>
      </c>
      <c r="W52">
        <v>110.74</v>
      </c>
      <c r="X52">
        <v>191.5</v>
      </c>
      <c r="Z52">
        <v>8.34</v>
      </c>
      <c r="AA52">
        <v>3119.25</v>
      </c>
      <c r="AB52">
        <v>2150.4299999999998</v>
      </c>
      <c r="AC52">
        <v>3055</v>
      </c>
    </row>
    <row r="53" spans="1:29" x14ac:dyDescent="0.35">
      <c r="A53" t="s">
        <v>154</v>
      </c>
      <c r="B53">
        <v>2</v>
      </c>
      <c r="C53" t="s">
        <v>159</v>
      </c>
      <c r="H53">
        <v>2.9488449999999999</v>
      </c>
      <c r="I53">
        <v>101.872045</v>
      </c>
      <c r="K53">
        <v>7</v>
      </c>
      <c r="L53">
        <v>47</v>
      </c>
      <c r="M53">
        <v>531</v>
      </c>
      <c r="N53">
        <v>50</v>
      </c>
      <c r="O53">
        <v>9.5</v>
      </c>
      <c r="P53">
        <v>3</v>
      </c>
      <c r="Q53">
        <v>22</v>
      </c>
      <c r="R53">
        <v>2.5</v>
      </c>
      <c r="S53">
        <v>23</v>
      </c>
      <c r="T53">
        <v>4</v>
      </c>
      <c r="U53">
        <v>26</v>
      </c>
      <c r="V53">
        <v>205.24</v>
      </c>
      <c r="W53">
        <v>107.85</v>
      </c>
      <c r="X53">
        <v>94.72</v>
      </c>
      <c r="Y53">
        <v>28.05</v>
      </c>
    </row>
    <row r="54" spans="1:29" x14ac:dyDescent="0.35">
      <c r="A54" t="s">
        <v>154</v>
      </c>
      <c r="B54">
        <v>1</v>
      </c>
      <c r="C54" t="s">
        <v>159</v>
      </c>
      <c r="H54">
        <v>2.9488449999999999</v>
      </c>
      <c r="I54">
        <v>101.872045</v>
      </c>
      <c r="K54">
        <v>7</v>
      </c>
      <c r="L54">
        <v>47</v>
      </c>
      <c r="M54">
        <v>762</v>
      </c>
      <c r="N54">
        <v>50</v>
      </c>
      <c r="O54">
        <v>10.5</v>
      </c>
      <c r="P54">
        <v>3.5</v>
      </c>
      <c r="Q54">
        <v>21</v>
      </c>
      <c r="R54">
        <v>2.5</v>
      </c>
      <c r="S54">
        <v>23</v>
      </c>
      <c r="T54">
        <v>3.5</v>
      </c>
      <c r="U54">
        <v>28</v>
      </c>
      <c r="V54">
        <v>361.44</v>
      </c>
      <c r="W54">
        <v>155.75</v>
      </c>
      <c r="X54">
        <v>59.59</v>
      </c>
      <c r="Y54">
        <v>16.79</v>
      </c>
      <c r="Z54">
        <v>7.23</v>
      </c>
      <c r="AA54">
        <v>2613.63</v>
      </c>
      <c r="AB54">
        <v>1745.61</v>
      </c>
      <c r="AC54">
        <v>2108</v>
      </c>
    </row>
    <row r="55" spans="1:29" x14ac:dyDescent="0.35">
      <c r="A55" t="s">
        <v>154</v>
      </c>
      <c r="B55">
        <v>2</v>
      </c>
      <c r="C55" t="s">
        <v>159</v>
      </c>
      <c r="H55">
        <v>2.9488449999999999</v>
      </c>
      <c r="I55">
        <v>101.872045</v>
      </c>
      <c r="K55">
        <v>7</v>
      </c>
      <c r="L55">
        <v>47</v>
      </c>
      <c r="M55">
        <v>567</v>
      </c>
      <c r="N55">
        <v>50</v>
      </c>
      <c r="O55">
        <v>7</v>
      </c>
      <c r="P55">
        <v>3</v>
      </c>
      <c r="Q55">
        <v>21</v>
      </c>
      <c r="R55">
        <v>2.5</v>
      </c>
      <c r="S55">
        <v>23.5</v>
      </c>
      <c r="T55">
        <v>4</v>
      </c>
      <c r="U55">
        <v>28</v>
      </c>
      <c r="V55">
        <v>201.86</v>
      </c>
      <c r="W55">
        <v>109.02</v>
      </c>
      <c r="X55">
        <v>84.91</v>
      </c>
      <c r="Y55">
        <v>20.91</v>
      </c>
    </row>
    <row r="56" spans="1:29" x14ac:dyDescent="0.35">
      <c r="A56" t="s">
        <v>154</v>
      </c>
      <c r="B56">
        <v>1</v>
      </c>
      <c r="C56" t="s">
        <v>160</v>
      </c>
      <c r="H56">
        <v>2.9488449999999999</v>
      </c>
      <c r="I56">
        <v>101.872045</v>
      </c>
      <c r="K56">
        <v>7</v>
      </c>
      <c r="L56">
        <v>44</v>
      </c>
      <c r="M56">
        <v>783</v>
      </c>
      <c r="N56">
        <v>46</v>
      </c>
      <c r="O56">
        <v>10</v>
      </c>
      <c r="P56">
        <v>4</v>
      </c>
      <c r="Q56">
        <v>24</v>
      </c>
      <c r="R56">
        <v>3.5</v>
      </c>
      <c r="S56">
        <v>20.5</v>
      </c>
      <c r="T56">
        <v>3.5</v>
      </c>
      <c r="U56">
        <v>25</v>
      </c>
      <c r="V56">
        <v>299.94</v>
      </c>
      <c r="W56">
        <v>119.43</v>
      </c>
      <c r="X56">
        <v>130.88</v>
      </c>
      <c r="Y56">
        <v>31.39</v>
      </c>
      <c r="Z56">
        <v>7.06</v>
      </c>
      <c r="AA56">
        <v>2506.9299999999998</v>
      </c>
      <c r="AB56">
        <v>1819.37</v>
      </c>
      <c r="AC56">
        <v>2422</v>
      </c>
    </row>
    <row r="57" spans="1:29" x14ac:dyDescent="0.35">
      <c r="A57" t="s">
        <v>154</v>
      </c>
      <c r="B57">
        <v>2</v>
      </c>
      <c r="C57" t="s">
        <v>160</v>
      </c>
      <c r="H57">
        <v>2.9488449999999999</v>
      </c>
      <c r="I57">
        <v>101.872045</v>
      </c>
      <c r="K57">
        <v>7</v>
      </c>
      <c r="L57">
        <v>44</v>
      </c>
      <c r="M57">
        <v>759</v>
      </c>
      <c r="N57">
        <v>50</v>
      </c>
      <c r="O57">
        <v>8.5</v>
      </c>
      <c r="P57">
        <v>4</v>
      </c>
      <c r="Q57">
        <v>23</v>
      </c>
      <c r="R57">
        <v>2</v>
      </c>
      <c r="S57">
        <v>20.5</v>
      </c>
      <c r="T57">
        <v>4</v>
      </c>
      <c r="U57">
        <v>17</v>
      </c>
      <c r="V57">
        <v>350.88</v>
      </c>
      <c r="W57">
        <v>137.66999999999999</v>
      </c>
      <c r="X57">
        <v>25.28</v>
      </c>
      <c r="Y57">
        <v>3.98</v>
      </c>
    </row>
    <row r="58" spans="1:29" x14ac:dyDescent="0.35">
      <c r="A58" t="s">
        <v>154</v>
      </c>
      <c r="B58">
        <v>1</v>
      </c>
      <c r="C58" t="s">
        <v>160</v>
      </c>
      <c r="H58">
        <v>2.9488449999999999</v>
      </c>
      <c r="I58">
        <v>101.872045</v>
      </c>
      <c r="K58">
        <v>7</v>
      </c>
      <c r="L58">
        <v>47</v>
      </c>
      <c r="M58">
        <v>597</v>
      </c>
      <c r="N58">
        <v>43</v>
      </c>
      <c r="O58">
        <v>8</v>
      </c>
      <c r="P58">
        <v>3</v>
      </c>
      <c r="Q58">
        <v>23</v>
      </c>
      <c r="R58">
        <v>2.5</v>
      </c>
      <c r="S58">
        <v>19</v>
      </c>
      <c r="T58">
        <v>3</v>
      </c>
      <c r="U58">
        <v>14</v>
      </c>
      <c r="V58">
        <v>266.32</v>
      </c>
      <c r="W58">
        <v>97.81</v>
      </c>
      <c r="X58">
        <v>17.899999999999999</v>
      </c>
      <c r="Y58">
        <v>4.82</v>
      </c>
      <c r="Z58">
        <v>6.19</v>
      </c>
      <c r="AA58">
        <v>2028.9</v>
      </c>
      <c r="AB58">
        <v>1458.2</v>
      </c>
      <c r="AC58">
        <v>1918</v>
      </c>
    </row>
    <row r="59" spans="1:29" x14ac:dyDescent="0.35">
      <c r="A59" t="s">
        <v>154</v>
      </c>
      <c r="B59">
        <v>2</v>
      </c>
      <c r="C59" t="s">
        <v>160</v>
      </c>
      <c r="H59">
        <v>2.9488449999999999</v>
      </c>
      <c r="I59">
        <v>101.872045</v>
      </c>
      <c r="K59">
        <v>7</v>
      </c>
      <c r="L59">
        <v>47</v>
      </c>
      <c r="M59">
        <v>444</v>
      </c>
      <c r="N59">
        <v>31</v>
      </c>
      <c r="O59">
        <v>8.5</v>
      </c>
      <c r="P59">
        <v>3</v>
      </c>
      <c r="Q59">
        <v>21</v>
      </c>
      <c r="R59">
        <v>2</v>
      </c>
      <c r="S59">
        <v>17</v>
      </c>
      <c r="T59">
        <v>3</v>
      </c>
      <c r="U59">
        <v>15</v>
      </c>
      <c r="V59">
        <v>119.08</v>
      </c>
      <c r="W59">
        <v>58.77</v>
      </c>
      <c r="X59">
        <v>35.869999999999997</v>
      </c>
      <c r="Y59">
        <v>5.12</v>
      </c>
    </row>
    <row r="60" spans="1:29" x14ac:dyDescent="0.35">
      <c r="A60" t="s">
        <v>154</v>
      </c>
      <c r="B60">
        <v>1</v>
      </c>
      <c r="C60" t="s">
        <v>160</v>
      </c>
      <c r="H60">
        <v>2.9488449999999999</v>
      </c>
      <c r="I60">
        <v>101.872045</v>
      </c>
      <c r="K60">
        <v>7</v>
      </c>
      <c r="L60">
        <v>44</v>
      </c>
      <c r="M60">
        <v>816</v>
      </c>
      <c r="N60">
        <v>44</v>
      </c>
      <c r="O60">
        <v>8</v>
      </c>
      <c r="P60">
        <v>3.5</v>
      </c>
      <c r="Q60">
        <v>24</v>
      </c>
      <c r="R60">
        <v>3.5</v>
      </c>
      <c r="S60">
        <v>23</v>
      </c>
      <c r="T60">
        <v>4</v>
      </c>
      <c r="U60">
        <v>24</v>
      </c>
      <c r="V60">
        <v>329.81</v>
      </c>
      <c r="W60">
        <v>143.55000000000001</v>
      </c>
      <c r="X60">
        <v>27.82</v>
      </c>
      <c r="Y60">
        <v>3.36</v>
      </c>
      <c r="Z60">
        <v>5.57</v>
      </c>
      <c r="AA60">
        <v>1902.58</v>
      </c>
      <c r="AB60">
        <v>1371.01</v>
      </c>
      <c r="AC60">
        <v>1916</v>
      </c>
    </row>
    <row r="61" spans="1:29" x14ac:dyDescent="0.35">
      <c r="A61" t="s">
        <v>154</v>
      </c>
      <c r="B61">
        <v>2</v>
      </c>
      <c r="C61" t="s">
        <v>160</v>
      </c>
      <c r="H61">
        <v>2.9488449999999999</v>
      </c>
      <c r="I61">
        <v>101.872045</v>
      </c>
      <c r="K61">
        <v>7</v>
      </c>
      <c r="L61">
        <v>44</v>
      </c>
      <c r="M61">
        <v>573</v>
      </c>
      <c r="N61">
        <v>43</v>
      </c>
      <c r="O61">
        <v>10</v>
      </c>
      <c r="P61">
        <v>3.5</v>
      </c>
      <c r="Q61">
        <v>21</v>
      </c>
      <c r="R61">
        <v>3</v>
      </c>
      <c r="S61">
        <v>20.5</v>
      </c>
      <c r="T61">
        <v>3</v>
      </c>
      <c r="U61">
        <v>23</v>
      </c>
      <c r="V61">
        <v>237.25</v>
      </c>
      <c r="W61">
        <v>97.41</v>
      </c>
      <c r="X61">
        <v>27.72</v>
      </c>
      <c r="Y61">
        <v>6.21</v>
      </c>
    </row>
    <row r="62" spans="1:29" x14ac:dyDescent="0.35">
      <c r="A62" t="s">
        <v>155</v>
      </c>
      <c r="B62">
        <v>1</v>
      </c>
      <c r="C62" t="s">
        <v>156</v>
      </c>
      <c r="H62">
        <v>2.9488449999999999</v>
      </c>
      <c r="I62">
        <v>101.872045</v>
      </c>
      <c r="K62">
        <v>7</v>
      </c>
      <c r="L62">
        <v>35</v>
      </c>
      <c r="M62">
        <v>816</v>
      </c>
      <c r="N62">
        <v>37</v>
      </c>
      <c r="O62">
        <v>6</v>
      </c>
      <c r="P62">
        <v>2</v>
      </c>
      <c r="Q62">
        <v>20</v>
      </c>
      <c r="R62">
        <v>2.5</v>
      </c>
      <c r="S62">
        <v>14.5</v>
      </c>
      <c r="T62">
        <v>3.5</v>
      </c>
      <c r="U62">
        <v>22</v>
      </c>
      <c r="V62">
        <v>289.56</v>
      </c>
      <c r="W62">
        <v>147.72</v>
      </c>
      <c r="X62">
        <v>76.63</v>
      </c>
      <c r="Y62">
        <v>23.91</v>
      </c>
      <c r="Z62">
        <v>3.54</v>
      </c>
      <c r="AA62">
        <v>1350.67</v>
      </c>
      <c r="AB62">
        <v>1008.06</v>
      </c>
      <c r="AC62">
        <v>1281</v>
      </c>
    </row>
    <row r="63" spans="1:29" x14ac:dyDescent="0.35">
      <c r="A63" t="s">
        <v>155</v>
      </c>
      <c r="B63">
        <v>2</v>
      </c>
      <c r="C63" t="s">
        <v>156</v>
      </c>
      <c r="H63">
        <v>2.9488449999999999</v>
      </c>
      <c r="I63">
        <v>101.872045</v>
      </c>
      <c r="K63">
        <v>7</v>
      </c>
      <c r="L63">
        <v>35</v>
      </c>
      <c r="M63">
        <v>642</v>
      </c>
      <c r="N63">
        <v>34</v>
      </c>
      <c r="O63">
        <v>4.5</v>
      </c>
      <c r="P63">
        <v>2</v>
      </c>
      <c r="Q63">
        <v>18</v>
      </c>
      <c r="R63">
        <v>2.5</v>
      </c>
      <c r="S63">
        <v>14</v>
      </c>
      <c r="T63">
        <v>3</v>
      </c>
      <c r="U63">
        <v>14</v>
      </c>
      <c r="V63">
        <v>219.92</v>
      </c>
      <c r="W63">
        <v>129.51</v>
      </c>
      <c r="X63">
        <v>71.59</v>
      </c>
      <c r="Y63">
        <v>19.190000000000001</v>
      </c>
    </row>
    <row r="64" spans="1:29" x14ac:dyDescent="0.35">
      <c r="A64" t="s">
        <v>155</v>
      </c>
      <c r="B64">
        <v>1</v>
      </c>
      <c r="C64" t="s">
        <v>156</v>
      </c>
      <c r="H64">
        <v>2.9488449999999999</v>
      </c>
      <c r="I64">
        <v>101.872045</v>
      </c>
      <c r="K64">
        <v>7</v>
      </c>
      <c r="L64">
        <v>35</v>
      </c>
      <c r="M64">
        <v>894</v>
      </c>
      <c r="N64">
        <v>43</v>
      </c>
      <c r="O64">
        <v>6</v>
      </c>
      <c r="P64">
        <v>3</v>
      </c>
      <c r="Q64">
        <v>21</v>
      </c>
      <c r="R64">
        <v>1.5</v>
      </c>
      <c r="S64">
        <v>15.5</v>
      </c>
      <c r="T64">
        <v>1</v>
      </c>
      <c r="U64">
        <v>10</v>
      </c>
      <c r="V64">
        <v>54.25</v>
      </c>
      <c r="W64">
        <v>35.090000000000003</v>
      </c>
      <c r="X64">
        <v>1.1399999999999999</v>
      </c>
      <c r="Z64">
        <v>2.33</v>
      </c>
      <c r="AA64">
        <v>897.54</v>
      </c>
      <c r="AB64">
        <v>684.45</v>
      </c>
      <c r="AC64">
        <v>1034</v>
      </c>
    </row>
    <row r="65" spans="1:29" x14ac:dyDescent="0.35">
      <c r="A65" t="s">
        <v>155</v>
      </c>
      <c r="B65">
        <v>2</v>
      </c>
      <c r="C65" t="s">
        <v>156</v>
      </c>
      <c r="H65">
        <v>2.9488449999999999</v>
      </c>
      <c r="I65">
        <v>101.872045</v>
      </c>
      <c r="K65">
        <v>7</v>
      </c>
      <c r="L65">
        <v>35</v>
      </c>
      <c r="M65">
        <v>702</v>
      </c>
      <c r="N65">
        <v>40</v>
      </c>
      <c r="O65">
        <v>6.5</v>
      </c>
      <c r="P65">
        <v>3</v>
      </c>
      <c r="Q65">
        <v>21</v>
      </c>
      <c r="R65">
        <v>2</v>
      </c>
      <c r="S65">
        <v>20</v>
      </c>
      <c r="T65">
        <v>3</v>
      </c>
      <c r="U65">
        <v>13</v>
      </c>
      <c r="V65">
        <v>160.16999999999999</v>
      </c>
      <c r="W65">
        <v>87.3</v>
      </c>
      <c r="X65">
        <v>58.58</v>
      </c>
      <c r="Y65">
        <v>16.73</v>
      </c>
    </row>
    <row r="66" spans="1:29" x14ac:dyDescent="0.35">
      <c r="A66" t="s">
        <v>155</v>
      </c>
      <c r="B66">
        <v>1</v>
      </c>
      <c r="C66" t="s">
        <v>156</v>
      </c>
      <c r="H66">
        <v>2.9488449999999999</v>
      </c>
      <c r="I66">
        <v>101.872045</v>
      </c>
      <c r="K66">
        <v>7</v>
      </c>
      <c r="L66">
        <v>36</v>
      </c>
      <c r="M66">
        <v>273</v>
      </c>
      <c r="N66">
        <v>35</v>
      </c>
      <c r="O66">
        <v>6.5</v>
      </c>
      <c r="P66">
        <v>2</v>
      </c>
      <c r="Q66">
        <v>17</v>
      </c>
      <c r="R66">
        <v>2</v>
      </c>
      <c r="S66">
        <v>13</v>
      </c>
      <c r="T66">
        <v>2</v>
      </c>
      <c r="U66">
        <v>22</v>
      </c>
      <c r="V66">
        <v>166.54</v>
      </c>
      <c r="W66">
        <v>96.69</v>
      </c>
      <c r="X66">
        <v>32.46</v>
      </c>
      <c r="Y66">
        <v>8.64</v>
      </c>
      <c r="Z66">
        <v>3.67</v>
      </c>
      <c r="AA66">
        <v>1301.49</v>
      </c>
      <c r="AB66">
        <v>996.75</v>
      </c>
      <c r="AC66">
        <v>1390</v>
      </c>
    </row>
    <row r="67" spans="1:29" x14ac:dyDescent="0.35">
      <c r="A67" t="s">
        <v>155</v>
      </c>
      <c r="B67">
        <v>2</v>
      </c>
      <c r="C67" t="s">
        <v>156</v>
      </c>
      <c r="H67">
        <v>2.9488449999999999</v>
      </c>
      <c r="I67">
        <v>101.872045</v>
      </c>
      <c r="K67">
        <v>7</v>
      </c>
      <c r="L67">
        <v>36</v>
      </c>
      <c r="M67">
        <v>1302</v>
      </c>
      <c r="N67">
        <v>47</v>
      </c>
      <c r="O67">
        <v>5.5</v>
      </c>
      <c r="P67">
        <v>2.5</v>
      </c>
      <c r="Q67">
        <v>22</v>
      </c>
      <c r="R67">
        <v>2</v>
      </c>
      <c r="S67">
        <v>16</v>
      </c>
      <c r="U67">
        <v>12</v>
      </c>
      <c r="V67">
        <v>143.96</v>
      </c>
      <c r="W67">
        <v>59.9</v>
      </c>
    </row>
    <row r="68" spans="1:29" x14ac:dyDescent="0.35">
      <c r="A68" t="s">
        <v>155</v>
      </c>
      <c r="B68">
        <v>1</v>
      </c>
      <c r="C68" t="s">
        <v>157</v>
      </c>
      <c r="H68">
        <v>2.9488449999999999</v>
      </c>
      <c r="I68">
        <v>101.872045</v>
      </c>
      <c r="K68">
        <v>7</v>
      </c>
      <c r="L68">
        <v>35</v>
      </c>
      <c r="M68">
        <v>1083</v>
      </c>
      <c r="N68">
        <v>37</v>
      </c>
      <c r="O68">
        <v>5.5</v>
      </c>
      <c r="P68">
        <v>2</v>
      </c>
      <c r="Q68">
        <v>20</v>
      </c>
      <c r="R68">
        <v>1.5</v>
      </c>
      <c r="S68">
        <v>15</v>
      </c>
      <c r="T68">
        <v>2</v>
      </c>
      <c r="U68">
        <v>7</v>
      </c>
      <c r="V68">
        <v>114.06</v>
      </c>
      <c r="W68">
        <v>69.75</v>
      </c>
      <c r="X68">
        <v>3.54</v>
      </c>
      <c r="Y68">
        <v>1.02</v>
      </c>
      <c r="Z68">
        <v>3.51</v>
      </c>
      <c r="AA68">
        <v>1351.01</v>
      </c>
      <c r="AB68">
        <v>987.93</v>
      </c>
      <c r="AC68">
        <v>1732</v>
      </c>
    </row>
    <row r="69" spans="1:29" x14ac:dyDescent="0.35">
      <c r="A69" t="s">
        <v>155</v>
      </c>
      <c r="B69">
        <v>2</v>
      </c>
      <c r="C69" t="s">
        <v>157</v>
      </c>
      <c r="H69">
        <v>2.9488449999999999</v>
      </c>
      <c r="I69">
        <v>101.872045</v>
      </c>
      <c r="K69">
        <v>7</v>
      </c>
      <c r="L69">
        <v>35</v>
      </c>
      <c r="M69">
        <v>834</v>
      </c>
      <c r="N69">
        <v>41</v>
      </c>
      <c r="O69">
        <v>7</v>
      </c>
      <c r="P69">
        <v>3</v>
      </c>
      <c r="Q69">
        <v>27</v>
      </c>
      <c r="R69">
        <v>1.5</v>
      </c>
      <c r="S69">
        <v>22.5</v>
      </c>
      <c r="T69">
        <v>3</v>
      </c>
      <c r="U69">
        <v>14</v>
      </c>
      <c r="V69">
        <v>173.21</v>
      </c>
      <c r="W69">
        <v>59.79</v>
      </c>
      <c r="X69">
        <v>27.59</v>
      </c>
      <c r="Y69">
        <v>5.99</v>
      </c>
    </row>
    <row r="70" spans="1:29" x14ac:dyDescent="0.35">
      <c r="A70" t="s">
        <v>155</v>
      </c>
      <c r="B70">
        <v>1</v>
      </c>
      <c r="C70" t="s">
        <v>157</v>
      </c>
      <c r="H70">
        <v>2.9488449999999999</v>
      </c>
      <c r="I70">
        <v>101.872045</v>
      </c>
      <c r="K70">
        <v>7</v>
      </c>
      <c r="L70">
        <v>37</v>
      </c>
      <c r="M70">
        <v>1095</v>
      </c>
      <c r="N70">
        <v>37</v>
      </c>
      <c r="O70">
        <v>5.5</v>
      </c>
      <c r="P70">
        <v>2.5</v>
      </c>
      <c r="Q70">
        <v>18</v>
      </c>
      <c r="R70">
        <v>2</v>
      </c>
      <c r="S70">
        <v>14</v>
      </c>
      <c r="T70">
        <v>2</v>
      </c>
      <c r="U70">
        <v>14</v>
      </c>
      <c r="V70">
        <v>168.97</v>
      </c>
      <c r="W70">
        <v>105.1</v>
      </c>
      <c r="X70">
        <v>25.9</v>
      </c>
      <c r="Y70">
        <v>6.55</v>
      </c>
      <c r="Z70">
        <v>4.5199999999999996</v>
      </c>
      <c r="AA70">
        <v>1931.11</v>
      </c>
      <c r="AB70">
        <v>1455.17</v>
      </c>
      <c r="AC70">
        <v>1854</v>
      </c>
    </row>
    <row r="71" spans="1:29" x14ac:dyDescent="0.35">
      <c r="A71" t="s">
        <v>155</v>
      </c>
      <c r="B71">
        <v>2</v>
      </c>
      <c r="C71" t="s">
        <v>157</v>
      </c>
      <c r="H71">
        <v>2.9488449999999999</v>
      </c>
      <c r="I71">
        <v>101.872045</v>
      </c>
      <c r="K71">
        <v>7</v>
      </c>
      <c r="L71">
        <v>37</v>
      </c>
      <c r="M71">
        <v>696</v>
      </c>
      <c r="N71">
        <v>43</v>
      </c>
      <c r="O71">
        <v>6</v>
      </c>
      <c r="P71">
        <v>3</v>
      </c>
      <c r="Q71">
        <v>20</v>
      </c>
      <c r="R71">
        <v>1.5</v>
      </c>
      <c r="S71">
        <v>15</v>
      </c>
      <c r="T71">
        <v>2</v>
      </c>
      <c r="U71">
        <v>19</v>
      </c>
      <c r="V71">
        <v>273.52</v>
      </c>
      <c r="W71">
        <v>116.11</v>
      </c>
      <c r="X71">
        <v>38.85</v>
      </c>
      <c r="Y71">
        <v>8.19</v>
      </c>
    </row>
    <row r="72" spans="1:29" x14ac:dyDescent="0.35">
      <c r="A72" t="s">
        <v>155</v>
      </c>
      <c r="B72">
        <v>1</v>
      </c>
      <c r="C72" t="s">
        <v>157</v>
      </c>
      <c r="H72">
        <v>2.9488449999999999</v>
      </c>
      <c r="I72">
        <v>101.872045</v>
      </c>
      <c r="K72">
        <v>7</v>
      </c>
      <c r="L72">
        <v>35</v>
      </c>
      <c r="M72">
        <v>1131</v>
      </c>
      <c r="N72">
        <v>41</v>
      </c>
      <c r="O72">
        <v>5</v>
      </c>
      <c r="P72">
        <v>2</v>
      </c>
      <c r="Q72">
        <v>17</v>
      </c>
      <c r="R72">
        <v>2</v>
      </c>
      <c r="S72">
        <v>14.5</v>
      </c>
      <c r="T72">
        <v>2.5</v>
      </c>
      <c r="U72">
        <v>25</v>
      </c>
      <c r="V72">
        <v>260.76</v>
      </c>
      <c r="W72">
        <v>94.91</v>
      </c>
      <c r="X72">
        <v>35.29</v>
      </c>
      <c r="Y72">
        <v>13.76</v>
      </c>
      <c r="Z72">
        <v>3.17</v>
      </c>
      <c r="AA72">
        <v>1164.6099999999999</v>
      </c>
      <c r="AB72">
        <v>835.53</v>
      </c>
      <c r="AC72">
        <v>1404</v>
      </c>
    </row>
    <row r="73" spans="1:29" x14ac:dyDescent="0.35">
      <c r="A73" t="s">
        <v>155</v>
      </c>
      <c r="B73">
        <v>2</v>
      </c>
      <c r="C73" t="s">
        <v>157</v>
      </c>
      <c r="H73">
        <v>2.9488449999999999</v>
      </c>
      <c r="I73">
        <v>101.872045</v>
      </c>
      <c r="K73">
        <v>7</v>
      </c>
      <c r="L73">
        <v>35</v>
      </c>
      <c r="M73">
        <v>1206</v>
      </c>
      <c r="N73">
        <v>43</v>
      </c>
      <c r="O73">
        <v>5</v>
      </c>
      <c r="P73">
        <v>2</v>
      </c>
      <c r="Q73">
        <v>21</v>
      </c>
      <c r="R73">
        <v>1.5</v>
      </c>
      <c r="S73">
        <v>14</v>
      </c>
      <c r="T73">
        <v>2.5</v>
      </c>
      <c r="U73">
        <v>27</v>
      </c>
      <c r="V73">
        <v>297.64</v>
      </c>
      <c r="W73">
        <v>113.72</v>
      </c>
      <c r="X73">
        <v>71.64</v>
      </c>
      <c r="Y73">
        <v>22.58</v>
      </c>
    </row>
    <row r="74" spans="1:29" x14ac:dyDescent="0.35">
      <c r="A74" t="s">
        <v>155</v>
      </c>
      <c r="B74">
        <v>1</v>
      </c>
      <c r="C74" t="s">
        <v>158</v>
      </c>
      <c r="H74">
        <v>2.9488449999999999</v>
      </c>
      <c r="I74">
        <v>101.872045</v>
      </c>
      <c r="K74">
        <v>7</v>
      </c>
      <c r="L74">
        <v>35</v>
      </c>
      <c r="M74">
        <v>1260</v>
      </c>
      <c r="N74">
        <v>44</v>
      </c>
      <c r="O74">
        <v>6</v>
      </c>
      <c r="P74">
        <v>3.5</v>
      </c>
      <c r="Q74">
        <v>21</v>
      </c>
      <c r="R74">
        <v>2</v>
      </c>
      <c r="S74">
        <v>21</v>
      </c>
      <c r="T74">
        <v>2.5</v>
      </c>
      <c r="U74">
        <v>21</v>
      </c>
      <c r="V74">
        <v>249.38</v>
      </c>
      <c r="W74">
        <v>94.08</v>
      </c>
      <c r="X74">
        <v>11.47</v>
      </c>
      <c r="Y74">
        <v>3.17</v>
      </c>
      <c r="Z74">
        <v>4.2300000000000004</v>
      </c>
      <c r="AA74">
        <v>1755.17</v>
      </c>
      <c r="AB74">
        <v>1298.74</v>
      </c>
      <c r="AC74">
        <v>1623</v>
      </c>
    </row>
    <row r="75" spans="1:29" x14ac:dyDescent="0.35">
      <c r="A75" t="s">
        <v>155</v>
      </c>
      <c r="B75">
        <v>2</v>
      </c>
      <c r="C75" t="s">
        <v>158</v>
      </c>
      <c r="H75">
        <v>2.9488449999999999</v>
      </c>
      <c r="I75">
        <v>101.872045</v>
      </c>
      <c r="K75">
        <v>7</v>
      </c>
      <c r="L75">
        <v>35</v>
      </c>
      <c r="M75">
        <v>1089</v>
      </c>
      <c r="N75">
        <v>40</v>
      </c>
      <c r="O75">
        <v>6</v>
      </c>
      <c r="P75">
        <v>2.5</v>
      </c>
      <c r="Q75">
        <v>22</v>
      </c>
      <c r="R75">
        <v>2.5</v>
      </c>
      <c r="S75">
        <v>21</v>
      </c>
      <c r="T75">
        <v>2.5</v>
      </c>
      <c r="U75">
        <v>21</v>
      </c>
      <c r="V75">
        <v>199.97</v>
      </c>
      <c r="W75">
        <v>77.38</v>
      </c>
      <c r="X75">
        <v>46.68</v>
      </c>
      <c r="Y75">
        <v>15.52</v>
      </c>
    </row>
    <row r="76" spans="1:29" x14ac:dyDescent="0.35">
      <c r="A76" t="s">
        <v>155</v>
      </c>
      <c r="B76">
        <v>1</v>
      </c>
      <c r="C76" t="s">
        <v>158</v>
      </c>
      <c r="H76">
        <v>2.9488449999999999</v>
      </c>
      <c r="I76">
        <v>101.872045</v>
      </c>
      <c r="K76">
        <v>7</v>
      </c>
      <c r="L76">
        <v>37</v>
      </c>
      <c r="M76">
        <v>1713</v>
      </c>
      <c r="N76">
        <v>52</v>
      </c>
      <c r="O76">
        <v>6</v>
      </c>
      <c r="P76">
        <v>3</v>
      </c>
      <c r="Q76">
        <v>22</v>
      </c>
      <c r="R76">
        <v>2</v>
      </c>
      <c r="S76">
        <v>17.5</v>
      </c>
      <c r="T76">
        <v>2</v>
      </c>
      <c r="U76">
        <v>24</v>
      </c>
      <c r="V76">
        <v>200.09</v>
      </c>
      <c r="W76">
        <v>80.150000000000006</v>
      </c>
      <c r="X76">
        <v>19.79</v>
      </c>
      <c r="Y76">
        <v>7.19</v>
      </c>
      <c r="Z76">
        <v>1.97</v>
      </c>
      <c r="AA76">
        <v>970.46</v>
      </c>
      <c r="AB76">
        <v>489.32</v>
      </c>
      <c r="AC76">
        <v>637</v>
      </c>
    </row>
    <row r="77" spans="1:29" x14ac:dyDescent="0.35">
      <c r="A77" t="s">
        <v>155</v>
      </c>
      <c r="B77">
        <v>2</v>
      </c>
      <c r="C77" t="s">
        <v>158</v>
      </c>
      <c r="H77">
        <v>2.9488449999999999</v>
      </c>
      <c r="I77">
        <v>101.872045</v>
      </c>
      <c r="K77">
        <v>7</v>
      </c>
      <c r="L77">
        <v>37</v>
      </c>
      <c r="M77">
        <v>1371</v>
      </c>
      <c r="N77">
        <v>43</v>
      </c>
      <c r="O77">
        <v>6.5</v>
      </c>
      <c r="P77">
        <v>3</v>
      </c>
      <c r="Q77">
        <v>20</v>
      </c>
      <c r="R77">
        <v>2.5</v>
      </c>
      <c r="S77">
        <v>19</v>
      </c>
      <c r="T77">
        <v>1.5</v>
      </c>
      <c r="U77">
        <v>21</v>
      </c>
      <c r="V77">
        <v>265.29000000000002</v>
      </c>
      <c r="W77">
        <v>113.8</v>
      </c>
      <c r="X77">
        <v>0.34</v>
      </c>
    </row>
    <row r="78" spans="1:29" x14ac:dyDescent="0.35">
      <c r="A78" t="s">
        <v>155</v>
      </c>
      <c r="B78">
        <v>1</v>
      </c>
      <c r="C78" t="s">
        <v>158</v>
      </c>
      <c r="H78">
        <v>2.9488449999999999</v>
      </c>
      <c r="I78">
        <v>101.872045</v>
      </c>
      <c r="K78">
        <v>7</v>
      </c>
      <c r="L78">
        <v>37</v>
      </c>
      <c r="M78">
        <v>1191</v>
      </c>
      <c r="N78">
        <v>40</v>
      </c>
      <c r="O78">
        <v>7</v>
      </c>
      <c r="P78">
        <v>3</v>
      </c>
      <c r="Q78">
        <v>21</v>
      </c>
      <c r="R78">
        <v>2</v>
      </c>
      <c r="S78">
        <v>19.5</v>
      </c>
      <c r="T78">
        <v>2</v>
      </c>
      <c r="U78">
        <v>26</v>
      </c>
      <c r="V78">
        <v>378.83</v>
      </c>
      <c r="W78">
        <v>143.83000000000001</v>
      </c>
      <c r="X78">
        <v>61.84</v>
      </c>
      <c r="Y78">
        <v>14.71</v>
      </c>
      <c r="Z78">
        <v>2.09</v>
      </c>
      <c r="AA78">
        <v>978.33</v>
      </c>
      <c r="AB78">
        <v>650.62</v>
      </c>
      <c r="AC78">
        <v>862</v>
      </c>
    </row>
    <row r="79" spans="1:29" x14ac:dyDescent="0.35">
      <c r="A79" t="s">
        <v>155</v>
      </c>
      <c r="B79">
        <v>2</v>
      </c>
      <c r="C79" t="s">
        <v>158</v>
      </c>
      <c r="H79">
        <v>2.9488449999999999</v>
      </c>
      <c r="I79">
        <v>101.872045</v>
      </c>
      <c r="K79">
        <v>7</v>
      </c>
      <c r="L79">
        <v>37</v>
      </c>
      <c r="M79">
        <v>864</v>
      </c>
      <c r="N79">
        <v>46</v>
      </c>
      <c r="O79">
        <v>6</v>
      </c>
      <c r="P79">
        <v>3</v>
      </c>
      <c r="Q79">
        <v>22</v>
      </c>
      <c r="R79">
        <v>2</v>
      </c>
      <c r="S79">
        <v>19</v>
      </c>
      <c r="T79">
        <v>2.5</v>
      </c>
      <c r="U79">
        <v>27</v>
      </c>
      <c r="V79">
        <v>344.95</v>
      </c>
      <c r="W79">
        <v>134.36000000000001</v>
      </c>
      <c r="X79">
        <v>33.14</v>
      </c>
      <c r="Y79">
        <v>8.36</v>
      </c>
    </row>
    <row r="80" spans="1:29" x14ac:dyDescent="0.35">
      <c r="A80" t="s">
        <v>155</v>
      </c>
      <c r="B80">
        <v>1</v>
      </c>
      <c r="C80" t="s">
        <v>159</v>
      </c>
      <c r="H80">
        <v>2.9488449999999999</v>
      </c>
      <c r="I80">
        <v>101.872045</v>
      </c>
      <c r="K80">
        <v>7</v>
      </c>
      <c r="L80">
        <v>35</v>
      </c>
      <c r="M80">
        <v>918</v>
      </c>
      <c r="N80">
        <v>36</v>
      </c>
      <c r="O80">
        <v>6</v>
      </c>
      <c r="P80">
        <v>3</v>
      </c>
      <c r="Q80">
        <v>18</v>
      </c>
      <c r="R80">
        <v>2</v>
      </c>
      <c r="S80">
        <v>15</v>
      </c>
      <c r="T80">
        <v>2.5</v>
      </c>
      <c r="U80">
        <v>26</v>
      </c>
      <c r="V80">
        <v>308.43</v>
      </c>
      <c r="W80">
        <v>136.59</v>
      </c>
      <c r="X80">
        <v>52.87</v>
      </c>
      <c r="Y80">
        <v>15.28</v>
      </c>
      <c r="Z80">
        <v>5.52</v>
      </c>
      <c r="AA80">
        <v>2373.2800000000002</v>
      </c>
      <c r="AB80">
        <v>1712.39</v>
      </c>
      <c r="AC80">
        <v>2078</v>
      </c>
    </row>
    <row r="81" spans="1:29" x14ac:dyDescent="0.35">
      <c r="A81" t="s">
        <v>155</v>
      </c>
      <c r="B81">
        <v>2</v>
      </c>
      <c r="C81" t="s">
        <v>159</v>
      </c>
      <c r="H81">
        <v>2.9488449999999999</v>
      </c>
      <c r="I81">
        <v>101.872045</v>
      </c>
      <c r="K81">
        <v>7</v>
      </c>
      <c r="L81">
        <v>35</v>
      </c>
      <c r="M81">
        <v>1254</v>
      </c>
      <c r="N81">
        <v>50</v>
      </c>
      <c r="O81">
        <v>6</v>
      </c>
      <c r="P81">
        <v>2.5</v>
      </c>
      <c r="Q81">
        <v>21</v>
      </c>
      <c r="R81">
        <v>1.5</v>
      </c>
      <c r="S81">
        <v>21</v>
      </c>
      <c r="T81">
        <v>2</v>
      </c>
      <c r="U81">
        <v>30</v>
      </c>
      <c r="V81">
        <v>232.56</v>
      </c>
      <c r="W81">
        <v>101.85</v>
      </c>
      <c r="X81">
        <v>159.38</v>
      </c>
      <c r="Y81">
        <v>41.53</v>
      </c>
    </row>
    <row r="82" spans="1:29" x14ac:dyDescent="0.35">
      <c r="A82" t="s">
        <v>155</v>
      </c>
      <c r="B82">
        <v>1</v>
      </c>
      <c r="C82" t="s">
        <v>159</v>
      </c>
      <c r="H82">
        <v>2.9488449999999999</v>
      </c>
      <c r="I82">
        <v>101.872045</v>
      </c>
      <c r="K82">
        <v>7</v>
      </c>
      <c r="L82">
        <v>35</v>
      </c>
      <c r="M82">
        <v>603</v>
      </c>
      <c r="N82">
        <v>24</v>
      </c>
      <c r="O82">
        <v>6</v>
      </c>
      <c r="P82">
        <v>3</v>
      </c>
      <c r="Q82">
        <v>17</v>
      </c>
      <c r="R82">
        <v>2.5</v>
      </c>
      <c r="S82">
        <v>18</v>
      </c>
      <c r="T82">
        <v>2</v>
      </c>
      <c r="U82">
        <v>27</v>
      </c>
      <c r="V82">
        <v>218.33</v>
      </c>
      <c r="W82">
        <v>110.74</v>
      </c>
      <c r="X82">
        <v>26.09</v>
      </c>
      <c r="Y82">
        <v>8.2100000000000009</v>
      </c>
      <c r="Z82">
        <v>3.01</v>
      </c>
      <c r="AA82">
        <v>1345.05</v>
      </c>
      <c r="AB82">
        <v>968.76</v>
      </c>
      <c r="AC82">
        <v>1201</v>
      </c>
    </row>
    <row r="83" spans="1:29" x14ac:dyDescent="0.35">
      <c r="A83" t="s">
        <v>155</v>
      </c>
      <c r="B83">
        <v>2</v>
      </c>
      <c r="C83" t="s">
        <v>159</v>
      </c>
      <c r="H83">
        <v>2.9488449999999999</v>
      </c>
      <c r="I83">
        <v>101.872045</v>
      </c>
      <c r="K83">
        <v>7</v>
      </c>
      <c r="L83">
        <v>35</v>
      </c>
      <c r="M83">
        <v>1464</v>
      </c>
      <c r="N83">
        <v>46</v>
      </c>
      <c r="O83">
        <v>6</v>
      </c>
      <c r="P83">
        <v>3</v>
      </c>
      <c r="Q83">
        <v>20</v>
      </c>
      <c r="R83">
        <v>2</v>
      </c>
      <c r="S83">
        <v>16.5</v>
      </c>
      <c r="T83">
        <v>2.5</v>
      </c>
      <c r="U83">
        <v>26</v>
      </c>
      <c r="V83">
        <v>205.24</v>
      </c>
      <c r="W83">
        <v>107.85</v>
      </c>
      <c r="X83">
        <v>6.65</v>
      </c>
      <c r="Y83">
        <v>1.37</v>
      </c>
    </row>
    <row r="84" spans="1:29" x14ac:dyDescent="0.35">
      <c r="A84" t="s">
        <v>155</v>
      </c>
      <c r="B84">
        <v>1</v>
      </c>
      <c r="C84" t="s">
        <v>159</v>
      </c>
      <c r="H84">
        <v>2.9488449999999999</v>
      </c>
      <c r="I84">
        <v>101.872045</v>
      </c>
      <c r="K84">
        <v>7</v>
      </c>
      <c r="L84">
        <v>35</v>
      </c>
      <c r="M84">
        <v>1389</v>
      </c>
      <c r="N84">
        <v>42</v>
      </c>
      <c r="O84">
        <v>6.5</v>
      </c>
      <c r="P84">
        <v>3</v>
      </c>
      <c r="Q84">
        <v>21</v>
      </c>
      <c r="R84">
        <v>1.5</v>
      </c>
      <c r="S84">
        <v>18</v>
      </c>
      <c r="T84">
        <v>2</v>
      </c>
      <c r="U84">
        <v>28</v>
      </c>
      <c r="V84">
        <v>361.44</v>
      </c>
      <c r="W84">
        <v>155.75</v>
      </c>
      <c r="X84">
        <v>32.67</v>
      </c>
      <c r="Y84">
        <v>8.9499999999999993</v>
      </c>
      <c r="Z84">
        <v>4.32</v>
      </c>
      <c r="AA84">
        <v>1733.35</v>
      </c>
      <c r="AB84">
        <v>1256.05</v>
      </c>
      <c r="AC84">
        <v>1680</v>
      </c>
    </row>
    <row r="85" spans="1:29" x14ac:dyDescent="0.35">
      <c r="A85" t="s">
        <v>155</v>
      </c>
      <c r="B85">
        <v>2</v>
      </c>
      <c r="C85" t="s">
        <v>159</v>
      </c>
      <c r="H85">
        <v>2.9488449999999999</v>
      </c>
      <c r="I85">
        <v>101.872045</v>
      </c>
      <c r="K85">
        <v>7</v>
      </c>
      <c r="L85">
        <v>35</v>
      </c>
      <c r="M85">
        <v>1392</v>
      </c>
      <c r="N85">
        <v>42</v>
      </c>
      <c r="O85">
        <v>7</v>
      </c>
      <c r="P85">
        <v>3</v>
      </c>
      <c r="Q85">
        <v>20</v>
      </c>
      <c r="R85">
        <v>2</v>
      </c>
      <c r="S85">
        <v>14</v>
      </c>
      <c r="T85">
        <v>2</v>
      </c>
      <c r="U85">
        <v>28</v>
      </c>
      <c r="V85">
        <v>201.86</v>
      </c>
      <c r="W85">
        <v>109.02</v>
      </c>
      <c r="X85">
        <v>34.33</v>
      </c>
      <c r="Y85">
        <v>7.18</v>
      </c>
    </row>
    <row r="86" spans="1:29" x14ac:dyDescent="0.35">
      <c r="A86" t="s">
        <v>155</v>
      </c>
      <c r="B86">
        <v>1</v>
      </c>
      <c r="C86" t="s">
        <v>160</v>
      </c>
      <c r="H86">
        <v>2.9488449999999999</v>
      </c>
      <c r="I86">
        <v>101.872045</v>
      </c>
      <c r="K86">
        <v>7</v>
      </c>
      <c r="L86">
        <v>37</v>
      </c>
      <c r="M86">
        <v>1095</v>
      </c>
      <c r="N86">
        <v>45</v>
      </c>
      <c r="O86">
        <v>7</v>
      </c>
      <c r="P86">
        <v>3.5</v>
      </c>
      <c r="Q86">
        <v>23</v>
      </c>
      <c r="R86">
        <v>2</v>
      </c>
      <c r="S86">
        <v>16.5</v>
      </c>
      <c r="T86">
        <v>4</v>
      </c>
      <c r="U86">
        <v>25</v>
      </c>
      <c r="V86">
        <v>299.94</v>
      </c>
      <c r="W86">
        <v>119.43</v>
      </c>
      <c r="X86">
        <v>32.29</v>
      </c>
      <c r="Y86">
        <v>6.21</v>
      </c>
      <c r="Z86">
        <v>3.54</v>
      </c>
      <c r="AA86">
        <v>1438.07</v>
      </c>
      <c r="AB86">
        <v>999.97</v>
      </c>
      <c r="AC86">
        <v>1703</v>
      </c>
    </row>
    <row r="87" spans="1:29" x14ac:dyDescent="0.35">
      <c r="A87" t="s">
        <v>155</v>
      </c>
      <c r="B87">
        <v>2</v>
      </c>
      <c r="C87" t="s">
        <v>160</v>
      </c>
      <c r="H87">
        <v>2.9488449999999999</v>
      </c>
      <c r="I87">
        <v>101.872045</v>
      </c>
      <c r="K87">
        <v>7</v>
      </c>
      <c r="L87">
        <v>37</v>
      </c>
      <c r="M87">
        <v>642</v>
      </c>
      <c r="N87">
        <v>31</v>
      </c>
      <c r="O87">
        <v>5</v>
      </c>
      <c r="P87">
        <v>2.5</v>
      </c>
      <c r="Q87">
        <v>22</v>
      </c>
      <c r="R87">
        <v>2.5</v>
      </c>
      <c r="S87">
        <v>15.5</v>
      </c>
      <c r="T87">
        <v>3</v>
      </c>
      <c r="U87">
        <v>17</v>
      </c>
      <c r="V87">
        <v>350.88</v>
      </c>
      <c r="W87">
        <v>137.66999999999999</v>
      </c>
      <c r="X87">
        <v>47.89</v>
      </c>
      <c r="Y87">
        <v>8.6300000000000008</v>
      </c>
    </row>
    <row r="88" spans="1:29" x14ac:dyDescent="0.35">
      <c r="A88" t="s">
        <v>155</v>
      </c>
      <c r="B88">
        <v>1</v>
      </c>
      <c r="C88" t="s">
        <v>160</v>
      </c>
      <c r="H88">
        <v>2.9488449999999999</v>
      </c>
      <c r="I88">
        <v>101.872045</v>
      </c>
      <c r="K88">
        <v>7</v>
      </c>
      <c r="L88">
        <v>35</v>
      </c>
      <c r="M88">
        <v>960</v>
      </c>
      <c r="N88">
        <v>34</v>
      </c>
      <c r="O88">
        <v>5.5</v>
      </c>
      <c r="P88">
        <v>2.5</v>
      </c>
      <c r="Q88">
        <v>20</v>
      </c>
      <c r="R88">
        <v>2.5</v>
      </c>
      <c r="S88">
        <v>18</v>
      </c>
      <c r="T88">
        <v>2.5</v>
      </c>
      <c r="U88">
        <v>14</v>
      </c>
      <c r="V88">
        <v>266.32</v>
      </c>
      <c r="W88">
        <v>97.81</v>
      </c>
      <c r="X88">
        <v>8.75</v>
      </c>
      <c r="Y88">
        <v>0.47</v>
      </c>
      <c r="Z88">
        <v>1.53</v>
      </c>
      <c r="AA88">
        <v>515.16</v>
      </c>
      <c r="AB88">
        <v>320.29000000000002</v>
      </c>
      <c r="AC88">
        <v>591</v>
      </c>
    </row>
    <row r="89" spans="1:29" x14ac:dyDescent="0.35">
      <c r="A89" t="s">
        <v>155</v>
      </c>
      <c r="B89">
        <v>2</v>
      </c>
      <c r="C89" t="s">
        <v>160</v>
      </c>
      <c r="H89">
        <v>2.9488449999999999</v>
      </c>
      <c r="I89">
        <v>101.872045</v>
      </c>
      <c r="K89">
        <v>7</v>
      </c>
      <c r="L89">
        <v>35</v>
      </c>
      <c r="M89">
        <v>837</v>
      </c>
      <c r="N89">
        <v>42</v>
      </c>
      <c r="O89">
        <v>6</v>
      </c>
      <c r="P89">
        <v>2.5</v>
      </c>
      <c r="Q89">
        <v>21</v>
      </c>
      <c r="R89">
        <v>2</v>
      </c>
      <c r="S89">
        <v>13.5</v>
      </c>
      <c r="T89">
        <v>3</v>
      </c>
      <c r="U89">
        <v>15</v>
      </c>
      <c r="V89">
        <v>119.08</v>
      </c>
      <c r="W89">
        <v>58.77</v>
      </c>
      <c r="X89">
        <v>4.0599999999999996</v>
      </c>
      <c r="Y89">
        <v>0.74</v>
      </c>
    </row>
    <row r="90" spans="1:29" x14ac:dyDescent="0.35">
      <c r="A90" t="s">
        <v>155</v>
      </c>
      <c r="B90">
        <v>1</v>
      </c>
      <c r="C90" t="s">
        <v>160</v>
      </c>
      <c r="H90">
        <v>2.9488449999999999</v>
      </c>
      <c r="I90">
        <v>101.872045</v>
      </c>
      <c r="K90">
        <v>7</v>
      </c>
      <c r="L90">
        <v>35</v>
      </c>
      <c r="M90">
        <v>711</v>
      </c>
      <c r="N90">
        <v>36</v>
      </c>
      <c r="O90">
        <v>7</v>
      </c>
      <c r="P90">
        <v>3</v>
      </c>
      <c r="Q90">
        <v>19</v>
      </c>
      <c r="R90">
        <v>1.5</v>
      </c>
      <c r="S90">
        <v>14.5</v>
      </c>
      <c r="T90">
        <v>2</v>
      </c>
      <c r="U90">
        <v>24</v>
      </c>
      <c r="V90">
        <v>329.81</v>
      </c>
      <c r="W90">
        <v>143.55000000000001</v>
      </c>
      <c r="X90">
        <v>42.29</v>
      </c>
      <c r="Y90">
        <v>8.98</v>
      </c>
      <c r="Z90">
        <v>4</v>
      </c>
      <c r="AA90">
        <v>1711.56</v>
      </c>
      <c r="AB90">
        <v>1214.21</v>
      </c>
      <c r="AC90">
        <v>1653</v>
      </c>
    </row>
    <row r="91" spans="1:29" x14ac:dyDescent="0.35">
      <c r="A91" t="s">
        <v>155</v>
      </c>
      <c r="B91">
        <v>2</v>
      </c>
      <c r="C91" t="s">
        <v>160</v>
      </c>
      <c r="H91">
        <v>2.9488449999999999</v>
      </c>
      <c r="I91">
        <v>101.872045</v>
      </c>
    </row>
  </sheetData>
  <conditionalFormatting sqref="A2:A91">
    <cfRule type="containsBlanks" dxfId="0" priority="1">
      <formula>LEN(TRIM(A2))=0</formula>
    </cfRule>
  </conditionalFormatting>
  <dataValidations count="1">
    <dataValidation allowBlank="1" showInputMessage="1" showErrorMessage="1" promptTitle="Please enter data here!" prompt="Lines (ACCENUMB from MCPD data) on the Y axis and phenotypes (which are described in PHENOTYPES tab) on the x axis. The actual phenotype value goes in the matrix cells. See DATA_EXAMPLE tab for more information before completion." sqref="A1" xr:uid="{00000000-0002-0000-0200-000000000000}"/>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
  <sheetViews>
    <sheetView workbookViewId="0">
      <selection activeCell="E11" sqref="E11"/>
    </sheetView>
  </sheetViews>
  <sheetFormatPr defaultRowHeight="14.5" x14ac:dyDescent="0.35"/>
  <cols>
    <col min="1" max="1" width="30.26953125" bestFit="1" customWidth="1"/>
    <col min="2" max="2" width="6.7265625" bestFit="1" customWidth="1"/>
    <col min="3" max="3" width="8" bestFit="1" customWidth="1"/>
    <col min="4" max="4" width="7.1796875" bestFit="1" customWidth="1"/>
    <col min="5" max="5" width="11.453125" bestFit="1" customWidth="1"/>
    <col min="6" max="6" width="12.54296875" bestFit="1" customWidth="1"/>
    <col min="7" max="7" width="29.7265625" bestFit="1" customWidth="1"/>
    <col min="8" max="8" width="10.54296875" bestFit="1" customWidth="1"/>
    <col min="9" max="9" width="12.1796875" bestFit="1" customWidth="1"/>
    <col min="10" max="10" width="11.54296875" bestFit="1" customWidth="1"/>
  </cols>
  <sheetData>
    <row r="1" spans="1:10" x14ac:dyDescent="0.35">
      <c r="A1" s="1" t="s">
        <v>7</v>
      </c>
      <c r="B1" s="1" t="s">
        <v>29</v>
      </c>
      <c r="C1" s="1" t="s">
        <v>97</v>
      </c>
      <c r="D1" s="1" t="s">
        <v>115</v>
      </c>
      <c r="E1" s="1" t="s">
        <v>116</v>
      </c>
      <c r="F1" s="1" t="s">
        <v>30</v>
      </c>
      <c r="G1" t="s">
        <v>91</v>
      </c>
      <c r="H1" t="s">
        <v>71</v>
      </c>
      <c r="I1" t="s">
        <v>72</v>
      </c>
      <c r="J1" t="s">
        <v>70</v>
      </c>
    </row>
  </sheetData>
  <dataValidations xWindow="96" yWindow="450"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F1" xr:uid="{13E30841-E8AE-4AEA-9BB5-750247107F69}"/>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31A2-8F6C-4EC4-B723-84C59F96FDF0}">
  <dimension ref="A1:H5"/>
  <sheetViews>
    <sheetView workbookViewId="0">
      <selection activeCell="B2" sqref="B2"/>
    </sheetView>
  </sheetViews>
  <sheetFormatPr defaultRowHeight="14.5" x14ac:dyDescent="0.35"/>
  <cols>
    <col min="1" max="1" width="11.453125" bestFit="1" customWidth="1"/>
    <col min="2" max="2" width="11.453125" customWidth="1"/>
    <col min="3" max="3" width="8.453125" bestFit="1" customWidth="1"/>
  </cols>
  <sheetData>
    <row r="1" spans="1:8" x14ac:dyDescent="0.35">
      <c r="A1" t="s">
        <v>88</v>
      </c>
      <c r="B1" t="s">
        <v>44</v>
      </c>
      <c r="C1" t="s">
        <v>89</v>
      </c>
      <c r="H1" t="s">
        <v>90</v>
      </c>
    </row>
    <row r="2" spans="1:8" x14ac:dyDescent="0.35">
      <c r="H2" t="s">
        <v>85</v>
      </c>
    </row>
    <row r="3" spans="1:8" x14ac:dyDescent="0.35">
      <c r="H3" t="s">
        <v>86</v>
      </c>
    </row>
    <row r="4" spans="1:8" x14ac:dyDescent="0.35">
      <c r="H4" t="s">
        <v>87</v>
      </c>
    </row>
    <row r="5" spans="1:8" x14ac:dyDescent="0.35">
      <c r="H5" t="s">
        <v>76</v>
      </c>
    </row>
  </sheetData>
  <dataValidations count="1">
    <dataValidation type="list" allowBlank="1" showInputMessage="1" showErrorMessage="1" sqref="B1:B1048576" xr:uid="{A99E7B79-269E-427E-A290-9658276FC0EE}">
      <formula1>$H$2:$H$5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B6D0-8EC1-4029-B8F6-04E7D9736B3A}">
  <dimension ref="A1:I2"/>
  <sheetViews>
    <sheetView workbookViewId="0">
      <selection activeCell="C1" sqref="C1:D2"/>
    </sheetView>
  </sheetViews>
  <sheetFormatPr defaultColWidth="9.1796875" defaultRowHeight="14.5" x14ac:dyDescent="0.35"/>
  <cols>
    <col min="1" max="1" width="42.453125" style="17" customWidth="1"/>
    <col min="2" max="4" width="40.81640625" style="17" customWidth="1"/>
    <col min="5" max="5" width="46.453125" style="17" customWidth="1"/>
    <col min="6" max="6" width="53.1796875" style="18" customWidth="1"/>
    <col min="7" max="7" width="42.26953125" style="17" customWidth="1"/>
    <col min="8" max="8" width="25" style="17" customWidth="1"/>
    <col min="9" max="9" width="13.453125" style="17" customWidth="1"/>
    <col min="10" max="16384" width="9.1796875" style="17"/>
  </cols>
  <sheetData>
    <row r="1" spans="1:9" x14ac:dyDescent="0.35">
      <c r="A1" s="15" t="s">
        <v>56</v>
      </c>
      <c r="B1" s="15" t="s">
        <v>57</v>
      </c>
      <c r="C1" s="19" t="s">
        <v>110</v>
      </c>
      <c r="D1" s="19" t="s">
        <v>111</v>
      </c>
      <c r="E1" s="15" t="s">
        <v>5</v>
      </c>
      <c r="F1" s="16" t="s">
        <v>58</v>
      </c>
      <c r="G1" s="15" t="s">
        <v>59</v>
      </c>
      <c r="H1" s="15" t="s">
        <v>60</v>
      </c>
      <c r="I1" s="19" t="s">
        <v>69</v>
      </c>
    </row>
    <row r="2" spans="1:9" ht="87" x14ac:dyDescent="0.35">
      <c r="A2" s="15" t="s">
        <v>61</v>
      </c>
      <c r="B2" s="15" t="s">
        <v>62</v>
      </c>
      <c r="C2" s="19" t="s">
        <v>112</v>
      </c>
      <c r="D2" s="19" t="s">
        <v>113</v>
      </c>
      <c r="E2" s="15" t="s">
        <v>63</v>
      </c>
      <c r="F2" s="16" t="s">
        <v>64</v>
      </c>
      <c r="G2" s="15" t="s">
        <v>65</v>
      </c>
      <c r="H2" s="15" t="s">
        <v>66</v>
      </c>
      <c r="I2" s="15" t="s">
        <v>73</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D861-9536-4856-8988-38BB3B3563D5}">
  <dimension ref="A1:F2"/>
  <sheetViews>
    <sheetView workbookViewId="0">
      <selection activeCell="E6" sqref="E6"/>
    </sheetView>
  </sheetViews>
  <sheetFormatPr defaultRowHeight="14.5" x14ac:dyDescent="0.35"/>
  <cols>
    <col min="1" max="1" width="8.453125" customWidth="1"/>
    <col min="2" max="2" width="21.81640625" customWidth="1"/>
    <col min="3" max="3" width="10.1796875" customWidth="1"/>
    <col min="4" max="4" width="11.453125" customWidth="1"/>
    <col min="5" max="5" width="10.453125" customWidth="1"/>
    <col min="6" max="6" width="12" customWidth="1"/>
  </cols>
  <sheetData>
    <row r="1" spans="1:6" x14ac:dyDescent="0.35">
      <c r="A1" t="s">
        <v>0</v>
      </c>
      <c r="B1" t="s">
        <v>68</v>
      </c>
      <c r="C1" t="s">
        <v>69</v>
      </c>
      <c r="D1" t="s">
        <v>70</v>
      </c>
      <c r="E1" t="s">
        <v>71</v>
      </c>
      <c r="F1" t="s">
        <v>72</v>
      </c>
    </row>
    <row r="2" spans="1:6" x14ac:dyDescent="0.35">
      <c r="A2" t="s">
        <v>161</v>
      </c>
      <c r="C2" t="s">
        <v>163</v>
      </c>
    </row>
  </sheetData>
  <dataValidations count="1">
    <dataValidation allowBlank="1" showInputMessage="1" showErrorMessage="1" promptTitle="ISO 3166-1 alpha-2" prompt="https://en.wikipedia.org/wiki/ISO_3166-1_alpha-2_x000a_" sqref="C1" xr:uid="{0D9EB899-F3F3-4ABD-A285-8DBAE030C105}"/>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9259-3A2D-497C-B3D7-300C547C2DDB}">
  <sheetPr>
    <tabColor theme="4"/>
  </sheetPr>
  <dimension ref="A1:F3"/>
  <sheetViews>
    <sheetView workbookViewId="0">
      <selection activeCell="E2" sqref="E2:F3"/>
    </sheetView>
  </sheetViews>
  <sheetFormatPr defaultRowHeight="14.5" x14ac:dyDescent="0.35"/>
  <sheetData>
    <row r="1" spans="1:6" x14ac:dyDescent="0.35">
      <c r="A1" t="s">
        <v>0</v>
      </c>
      <c r="B1" t="s">
        <v>68</v>
      </c>
      <c r="C1" t="s">
        <v>69</v>
      </c>
      <c r="D1" t="s">
        <v>70</v>
      </c>
      <c r="E1" t="s">
        <v>71</v>
      </c>
      <c r="F1" t="s">
        <v>72</v>
      </c>
    </row>
    <row r="2" spans="1:6" x14ac:dyDescent="0.35">
      <c r="A2" t="s">
        <v>92</v>
      </c>
      <c r="B2" t="s">
        <v>93</v>
      </c>
      <c r="C2" t="s">
        <v>94</v>
      </c>
      <c r="D2">
        <v>30</v>
      </c>
      <c r="E2">
        <v>56.483783000000003</v>
      </c>
      <c r="F2">
        <v>-3.1135030000000001</v>
      </c>
    </row>
    <row r="3" spans="1:6" x14ac:dyDescent="0.35">
      <c r="A3" t="s">
        <v>95</v>
      </c>
      <c r="B3" t="s">
        <v>96</v>
      </c>
      <c r="C3" t="s">
        <v>94</v>
      </c>
      <c r="D3">
        <v>140</v>
      </c>
      <c r="E3">
        <v>56.481081000000003</v>
      </c>
      <c r="F3">
        <v>-3.135132</v>
      </c>
    </row>
  </sheetData>
  <dataValidations count="1">
    <dataValidation allowBlank="1" showInputMessage="1" showErrorMessage="1" promptTitle="ISO 3166-1 alpha-2" prompt="https://en.wikipedia.org/wiki/ISO_3166-1_alpha-2_x000a_" sqref="C1" xr:uid="{36A6CCAA-60ED-49BA-A3B5-70BC336495BF}"/>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J5"/>
  <sheetViews>
    <sheetView workbookViewId="0">
      <selection activeCell="C34" sqref="C34"/>
    </sheetView>
  </sheetViews>
  <sheetFormatPr defaultRowHeight="14.5" x14ac:dyDescent="0.35"/>
  <cols>
    <col min="1" max="1" width="19.81640625" bestFit="1" customWidth="1"/>
    <col min="2" max="2" width="13.7265625" bestFit="1" customWidth="1"/>
    <col min="3" max="3" width="104.453125" bestFit="1" customWidth="1"/>
    <col min="4" max="4" width="12" bestFit="1" customWidth="1"/>
    <col min="5" max="5" width="12.81640625" bestFit="1" customWidth="1"/>
    <col min="6" max="6" width="19.26953125" bestFit="1" customWidth="1"/>
    <col min="7" max="7" width="18.7265625" bestFit="1" customWidth="1"/>
    <col min="8" max="8" width="35.1796875" bestFit="1" customWidth="1"/>
    <col min="9" max="9" width="28.81640625" bestFit="1" customWidth="1"/>
    <col min="10" max="10" width="29.1796875" bestFit="1" customWidth="1"/>
  </cols>
  <sheetData>
    <row r="1" spans="1:10" x14ac:dyDescent="0.35">
      <c r="A1" s="21" t="s">
        <v>0</v>
      </c>
      <c r="B1" t="s">
        <v>1</v>
      </c>
      <c r="C1" t="s">
        <v>2</v>
      </c>
      <c r="D1" s="21" t="s">
        <v>3</v>
      </c>
      <c r="E1" t="s">
        <v>10</v>
      </c>
      <c r="F1" t="s">
        <v>8</v>
      </c>
      <c r="G1" t="s">
        <v>9</v>
      </c>
      <c r="H1" t="s">
        <v>75</v>
      </c>
      <c r="I1" t="s">
        <v>77</v>
      </c>
      <c r="J1" t="s">
        <v>78</v>
      </c>
    </row>
    <row r="2" spans="1:10" x14ac:dyDescent="0.35">
      <c r="A2" t="s">
        <v>15</v>
      </c>
      <c r="B2" t="s">
        <v>16</v>
      </c>
      <c r="C2" t="s">
        <v>17</v>
      </c>
      <c r="D2" t="s">
        <v>85</v>
      </c>
      <c r="E2" t="s">
        <v>13</v>
      </c>
      <c r="F2" t="s">
        <v>14</v>
      </c>
      <c r="G2" t="s">
        <v>13</v>
      </c>
    </row>
    <row r="3" spans="1:10" x14ac:dyDescent="0.35">
      <c r="A3" t="s">
        <v>18</v>
      </c>
      <c r="B3" t="s">
        <v>19</v>
      </c>
      <c r="C3" t="s">
        <v>20</v>
      </c>
      <c r="D3" t="s">
        <v>85</v>
      </c>
      <c r="E3" t="s">
        <v>21</v>
      </c>
      <c r="F3" t="s">
        <v>22</v>
      </c>
      <c r="G3" t="s">
        <v>21</v>
      </c>
    </row>
    <row r="4" spans="1:10" x14ac:dyDescent="0.35">
      <c r="A4" t="s">
        <v>23</v>
      </c>
      <c r="B4" t="s">
        <v>24</v>
      </c>
      <c r="C4" t="s">
        <v>23</v>
      </c>
      <c r="D4" t="s">
        <v>85</v>
      </c>
      <c r="E4" t="s">
        <v>13</v>
      </c>
      <c r="F4" t="s">
        <v>14</v>
      </c>
      <c r="G4" t="s">
        <v>13</v>
      </c>
    </row>
    <row r="5" spans="1:10" x14ac:dyDescent="0.35">
      <c r="A5" t="s">
        <v>79</v>
      </c>
      <c r="B5" t="s">
        <v>80</v>
      </c>
      <c r="C5" t="s">
        <v>79</v>
      </c>
      <c r="D5" t="s">
        <v>76</v>
      </c>
      <c r="H5" t="s">
        <v>81</v>
      </c>
    </row>
  </sheetData>
  <dataValidations count="8">
    <dataValidation allowBlank="1" showInputMessage="1" showErrorMessage="1" promptTitle="Unit Description" prompt="A description of the unit." sqref="G1" xr:uid="{16D5CC04-3B65-4F55-B2C4-EE9D936D07C4}"/>
    <dataValidation allowBlank="1" showInputMessage="1" showErrorMessage="1" promptTitle="Unit Abbreviation" prompt="Abbreviation for unit. Examples include 'l' or 'cm'" sqref="F1" xr:uid="{AC4F8502-A851-4CCB-B918-5D4763FB006B}"/>
    <dataValidation allowBlank="1" showInputMessage="1" showErrorMessage="1" promptTitle="Unit Name" prompt="The name of the unit that is defined. Examples would include 'centimetre' or 'litre'" sqref="E1" xr:uid="{37849AFC-2B54-4F44-9627-B74E742F0D18}"/>
    <dataValidation allowBlank="1" showInputMessage="1" showErrorMessage="1" promptTitle="Phenotype Description" prompt="This should be a full description of the phenotype. There is no limit to the length of text that can be used here so please be descriptive." sqref="C1" xr:uid="{2CCAF288-83B4-472D-98B9-8B258E2B4286}"/>
    <dataValidation allowBlank="1" showInputMessage="1" showErrorMessage="1" promptTitle="Phenotype Short Name" prompt="This is should be a shortened version of the phenotype name. This is used on some of the Germinate pages which use tables so that the phenotype name fits." sqref="B1" xr:uid="{FAAEA96D-BB37-46C4-B5FE-E1B1136C836A}"/>
    <dataValidation allowBlank="1" showInputMessage="1" showErrorMessage="1" promptTitle="Phenotype Name" prompt="This should be the full name of the phenotype that has been scored." sqref="A1" xr:uid="{08E60448-4E9F-47ED-930C-AB529B5A231D}"/>
    <dataValidation type="list" allowBlank="1" showInputMessage="1" showErrorMessage="1" sqref="D1" xr:uid="{9D8AB10C-6262-46B1-9E10-D45C03C4CFD6}">
      <formula1>$L$2:$L$4</formula1>
    </dataValidation>
    <dataValidation allowBlank="1" showInputMessage="1" showErrorMessage="1" promptTitle="Trait categories" prompt="These are the possible values of this trait. Please specify them in this format_x000a_[[&quot;first&quot;, &quot;second&quot;, &quot;third&quot;],[&quot;1&quot;, &quot;2&quot;, &quot;3&quot;]]_x000a_This example shows two scales for this trait, one descriptive and one numerical. If you only have one, please only specify one." sqref="H1" xr:uid="{27E89C82-A161-4A20-A11B-D2A61F76957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N12"/>
  <sheetViews>
    <sheetView workbookViewId="0">
      <selection activeCell="D1" sqref="D1:E12"/>
    </sheetView>
  </sheetViews>
  <sheetFormatPr defaultRowHeight="14.5" x14ac:dyDescent="0.35"/>
  <cols>
    <col min="1" max="1" width="17.7265625" bestFit="1" customWidth="1"/>
    <col min="2" max="2" width="6.7265625" bestFit="1" customWidth="1"/>
    <col min="3" max="5" width="6.7265625" customWidth="1"/>
    <col min="6" max="6" width="12.54296875" bestFit="1" customWidth="1"/>
    <col min="7" max="8" width="12.54296875" customWidth="1"/>
    <col min="9" max="9" width="17.453125" customWidth="1"/>
    <col min="10" max="10" width="12.54296875" customWidth="1"/>
    <col min="11" max="11" width="14.453125" bestFit="1" customWidth="1"/>
    <col min="12" max="12" width="24.453125" bestFit="1" customWidth="1"/>
    <col min="13" max="13" width="11.54296875" bestFit="1" customWidth="1"/>
    <col min="14" max="14" width="14.453125" bestFit="1" customWidth="1"/>
  </cols>
  <sheetData>
    <row r="1" spans="1:14" x14ac:dyDescent="0.35">
      <c r="A1" s="1" t="s">
        <v>7</v>
      </c>
      <c r="B1" s="1" t="s">
        <v>29</v>
      </c>
      <c r="C1" s="1" t="s">
        <v>97</v>
      </c>
      <c r="D1" s="1" t="s">
        <v>115</v>
      </c>
      <c r="E1" s="1" t="s">
        <v>116</v>
      </c>
      <c r="F1" s="1" t="s">
        <v>30</v>
      </c>
      <c r="G1" s="1" t="s">
        <v>91</v>
      </c>
      <c r="H1" s="1" t="s">
        <v>71</v>
      </c>
      <c r="I1" s="1" t="s">
        <v>72</v>
      </c>
      <c r="J1" s="1" t="s">
        <v>70</v>
      </c>
      <c r="K1" s="2" t="s">
        <v>15</v>
      </c>
      <c r="L1" s="2" t="s">
        <v>18</v>
      </c>
      <c r="M1" t="s">
        <v>23</v>
      </c>
      <c r="N1" t="s">
        <v>79</v>
      </c>
    </row>
    <row r="2" spans="1:14" x14ac:dyDescent="0.35">
      <c r="A2" t="s">
        <v>25</v>
      </c>
      <c r="B2">
        <v>1</v>
      </c>
      <c r="C2">
        <v>1</v>
      </c>
      <c r="D2">
        <v>1</v>
      </c>
      <c r="E2">
        <v>1</v>
      </c>
      <c r="F2" t="s">
        <v>31</v>
      </c>
      <c r="G2" t="s">
        <v>92</v>
      </c>
      <c r="H2">
        <v>56.46152</v>
      </c>
      <c r="I2">
        <v>-3.1109200000000001</v>
      </c>
      <c r="J2">
        <v>38.9</v>
      </c>
      <c r="K2">
        <v>15.698600000000001</v>
      </c>
      <c r="L2">
        <v>7</v>
      </c>
      <c r="M2">
        <v>20.435199999999998</v>
      </c>
      <c r="N2" t="s">
        <v>82</v>
      </c>
    </row>
    <row r="3" spans="1:14" x14ac:dyDescent="0.35">
      <c r="A3" t="s">
        <v>25</v>
      </c>
      <c r="B3">
        <v>2</v>
      </c>
      <c r="C3">
        <v>1</v>
      </c>
      <c r="D3">
        <v>2</v>
      </c>
      <c r="E3">
        <v>1</v>
      </c>
      <c r="F3" t="s">
        <v>31</v>
      </c>
      <c r="G3" t="s">
        <v>95</v>
      </c>
      <c r="H3">
        <v>56.470471000000003</v>
      </c>
      <c r="I3">
        <v>-3.1227999999999998</v>
      </c>
      <c r="J3">
        <v>26.4</v>
      </c>
      <c r="K3">
        <v>17.075500000000002</v>
      </c>
      <c r="L3">
        <v>8</v>
      </c>
      <c r="M3">
        <v>24.342500000000001</v>
      </c>
      <c r="N3" t="s">
        <v>82</v>
      </c>
    </row>
    <row r="4" spans="1:14" x14ac:dyDescent="0.35">
      <c r="A4" t="s">
        <v>25</v>
      </c>
      <c r="B4">
        <v>1</v>
      </c>
      <c r="C4">
        <v>2</v>
      </c>
      <c r="D4">
        <v>3</v>
      </c>
      <c r="E4">
        <v>1</v>
      </c>
      <c r="F4" t="s">
        <v>32</v>
      </c>
      <c r="G4" t="s">
        <v>92</v>
      </c>
      <c r="H4">
        <v>56.465794000000002</v>
      </c>
      <c r="I4">
        <v>-3.12696</v>
      </c>
      <c r="J4">
        <v>98.1</v>
      </c>
      <c r="K4">
        <v>5.6565000000000003</v>
      </c>
      <c r="L4">
        <v>1</v>
      </c>
      <c r="M4">
        <v>10.432399999999999</v>
      </c>
      <c r="N4" t="s">
        <v>83</v>
      </c>
    </row>
    <row r="5" spans="1:14" x14ac:dyDescent="0.35">
      <c r="A5" t="s">
        <v>25</v>
      </c>
      <c r="B5">
        <v>2</v>
      </c>
      <c r="C5">
        <v>1</v>
      </c>
      <c r="D5">
        <v>4</v>
      </c>
      <c r="E5">
        <v>1</v>
      </c>
      <c r="F5" t="s">
        <v>32</v>
      </c>
      <c r="G5" t="s">
        <v>95</v>
      </c>
      <c r="H5">
        <v>56.468415</v>
      </c>
      <c r="I5">
        <v>-3.1256499999999998</v>
      </c>
      <c r="J5">
        <v>76.5</v>
      </c>
      <c r="K5">
        <v>6.4452999999999996</v>
      </c>
      <c r="L5">
        <v>2</v>
      </c>
      <c r="M5">
        <v>9.4054000000000002</v>
      </c>
      <c r="N5" t="s">
        <v>84</v>
      </c>
    </row>
    <row r="6" spans="1:14" x14ac:dyDescent="0.35">
      <c r="A6" t="s">
        <v>26</v>
      </c>
      <c r="B6">
        <v>1</v>
      </c>
      <c r="C6">
        <v>1</v>
      </c>
      <c r="D6">
        <v>1</v>
      </c>
      <c r="E6">
        <v>2</v>
      </c>
      <c r="F6" t="s">
        <v>31</v>
      </c>
      <c r="G6" t="s">
        <v>92</v>
      </c>
      <c r="H6">
        <v>56.470269999999999</v>
      </c>
      <c r="I6">
        <v>-3.1406999999999998</v>
      </c>
      <c r="J6">
        <v>76.2</v>
      </c>
      <c r="K6">
        <v>16.232500000000002</v>
      </c>
      <c r="M6">
        <v>21.435600000000001</v>
      </c>
      <c r="N6" t="s">
        <v>83</v>
      </c>
    </row>
    <row r="7" spans="1:14" x14ac:dyDescent="0.35">
      <c r="A7" t="s">
        <v>26</v>
      </c>
      <c r="B7">
        <v>2</v>
      </c>
      <c r="C7">
        <v>2</v>
      </c>
      <c r="D7">
        <v>2</v>
      </c>
      <c r="E7">
        <v>2</v>
      </c>
      <c r="F7" t="s">
        <v>31</v>
      </c>
      <c r="G7" t="s">
        <v>95</v>
      </c>
      <c r="H7">
        <v>56.471969000000001</v>
      </c>
      <c r="I7">
        <v>-3.11985</v>
      </c>
      <c r="J7">
        <v>62.4</v>
      </c>
      <c r="K7">
        <v>17.552600000000002</v>
      </c>
      <c r="M7">
        <v>22.467400000000001</v>
      </c>
      <c r="N7" t="s">
        <v>82</v>
      </c>
    </row>
    <row r="8" spans="1:14" x14ac:dyDescent="0.35">
      <c r="A8" t="s">
        <v>26</v>
      </c>
      <c r="B8">
        <v>1</v>
      </c>
      <c r="C8">
        <v>1</v>
      </c>
      <c r="D8">
        <v>3</v>
      </c>
      <c r="E8">
        <v>2</v>
      </c>
      <c r="F8" t="s">
        <v>32</v>
      </c>
      <c r="G8" t="s">
        <v>92</v>
      </c>
      <c r="H8">
        <v>56.468760000000003</v>
      </c>
      <c r="I8">
        <v>-3.1153</v>
      </c>
      <c r="J8">
        <v>56.4</v>
      </c>
      <c r="K8">
        <v>4.5321999999999996</v>
      </c>
      <c r="L8">
        <v>2</v>
      </c>
      <c r="M8">
        <v>16.546600000000002</v>
      </c>
      <c r="N8" t="s">
        <v>84</v>
      </c>
    </row>
    <row r="9" spans="1:14" x14ac:dyDescent="0.35">
      <c r="A9" t="s">
        <v>26</v>
      </c>
      <c r="B9">
        <v>2</v>
      </c>
      <c r="C9">
        <v>2</v>
      </c>
      <c r="D9">
        <v>4</v>
      </c>
      <c r="E9">
        <v>2</v>
      </c>
      <c r="F9" t="s">
        <v>32</v>
      </c>
      <c r="G9" t="s">
        <v>95</v>
      </c>
      <c r="H9">
        <v>56.467841999999997</v>
      </c>
      <c r="I9">
        <v>-3.1088</v>
      </c>
      <c r="J9">
        <v>68.900000000000006</v>
      </c>
      <c r="K9">
        <v>6.3562000000000003</v>
      </c>
      <c r="L9">
        <v>3</v>
      </c>
      <c r="M9">
        <v>15.545299999999999</v>
      </c>
      <c r="N9" t="s">
        <v>83</v>
      </c>
    </row>
    <row r="10" spans="1:14" x14ac:dyDescent="0.35">
      <c r="A10" t="s">
        <v>27</v>
      </c>
      <c r="B10">
        <v>1</v>
      </c>
      <c r="C10">
        <v>1</v>
      </c>
      <c r="D10">
        <v>1</v>
      </c>
      <c r="E10">
        <v>3</v>
      </c>
      <c r="F10" t="s">
        <v>31</v>
      </c>
      <c r="G10" t="s">
        <v>92</v>
      </c>
      <c r="H10">
        <v>56.469270999999999</v>
      </c>
      <c r="I10">
        <v>-3.14317</v>
      </c>
      <c r="J10">
        <v>85.6</v>
      </c>
      <c r="K10">
        <v>14.5463</v>
      </c>
      <c r="L10">
        <v>6</v>
      </c>
      <c r="M10">
        <v>24.545300000000001</v>
      </c>
      <c r="N10" t="s">
        <v>83</v>
      </c>
    </row>
    <row r="11" spans="1:14" x14ac:dyDescent="0.35">
      <c r="A11" t="s">
        <v>27</v>
      </c>
      <c r="B11">
        <v>2</v>
      </c>
      <c r="C11">
        <v>2</v>
      </c>
      <c r="D11">
        <v>2</v>
      </c>
      <c r="E11">
        <v>3</v>
      </c>
      <c r="F11" t="s">
        <v>31</v>
      </c>
      <c r="G11" t="s">
        <v>95</v>
      </c>
      <c r="H11">
        <v>56.472653000000001</v>
      </c>
      <c r="I11">
        <v>-3.1432699999999998</v>
      </c>
      <c r="J11">
        <v>23.6</v>
      </c>
      <c r="K11">
        <v>20.435600000000001</v>
      </c>
      <c r="L11">
        <v>8</v>
      </c>
      <c r="M11">
        <v>25.5366</v>
      </c>
      <c r="N11" t="s">
        <v>83</v>
      </c>
    </row>
    <row r="12" spans="1:14" x14ac:dyDescent="0.35">
      <c r="A12" t="s">
        <v>27</v>
      </c>
      <c r="B12">
        <v>1</v>
      </c>
      <c r="C12">
        <v>1</v>
      </c>
      <c r="D12">
        <v>3</v>
      </c>
      <c r="E12">
        <v>3</v>
      </c>
      <c r="F12" t="s">
        <v>32</v>
      </c>
      <c r="G12" t="s">
        <v>92</v>
      </c>
      <c r="H12">
        <v>56.461801000000001</v>
      </c>
      <c r="I12">
        <v>-3.1385399999999999</v>
      </c>
      <c r="J12">
        <v>85.9</v>
      </c>
      <c r="L12">
        <v>1</v>
      </c>
      <c r="M12">
        <v>9.4344999999999999</v>
      </c>
      <c r="N12" t="s">
        <v>82</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M20"/>
  <sheetViews>
    <sheetView workbookViewId="0">
      <selection activeCell="G11" sqref="G11"/>
    </sheetView>
  </sheetViews>
  <sheetFormatPr defaultRowHeight="14.5" x14ac:dyDescent="0.35"/>
  <cols>
    <col min="1" max="1" width="17.7265625" bestFit="1" customWidth="1"/>
    <col min="2" max="2" width="6.7265625" bestFit="1" customWidth="1"/>
    <col min="3" max="5" width="6.7265625" customWidth="1"/>
    <col min="6" max="6" width="12.54296875" bestFit="1" customWidth="1"/>
    <col min="7" max="10" width="12.54296875" customWidth="1"/>
    <col min="11" max="11" width="14.453125" bestFit="1" customWidth="1"/>
    <col min="12" max="12" width="24.453125" bestFit="1" customWidth="1"/>
    <col min="13" max="13" width="11.54296875" bestFit="1" customWidth="1"/>
  </cols>
  <sheetData>
    <row r="1" spans="1:13" x14ac:dyDescent="0.35">
      <c r="A1" s="1" t="s">
        <v>7</v>
      </c>
      <c r="B1" s="1" t="s">
        <v>29</v>
      </c>
      <c r="C1" s="1" t="s">
        <v>97</v>
      </c>
      <c r="D1" s="1" t="s">
        <v>115</v>
      </c>
      <c r="E1" s="1" t="s">
        <v>116</v>
      </c>
      <c r="F1" s="1" t="s">
        <v>30</v>
      </c>
      <c r="G1" s="1" t="s">
        <v>91</v>
      </c>
      <c r="H1" s="1" t="s">
        <v>71</v>
      </c>
      <c r="I1" s="1" t="s">
        <v>72</v>
      </c>
      <c r="J1" s="1" t="s">
        <v>70</v>
      </c>
      <c r="K1" s="2" t="s">
        <v>15</v>
      </c>
      <c r="L1" s="2" t="s">
        <v>18</v>
      </c>
      <c r="M1" t="s">
        <v>23</v>
      </c>
    </row>
    <row r="2" spans="1:13" x14ac:dyDescent="0.35">
      <c r="A2" t="s">
        <v>25</v>
      </c>
      <c r="B2">
        <v>1</v>
      </c>
      <c r="C2">
        <v>1</v>
      </c>
      <c r="D2">
        <v>1</v>
      </c>
      <c r="E2">
        <v>1</v>
      </c>
      <c r="F2" t="s">
        <v>31</v>
      </c>
      <c r="G2" t="s">
        <v>92</v>
      </c>
      <c r="H2">
        <v>56.46152</v>
      </c>
      <c r="I2">
        <v>-3.1109200000000001</v>
      </c>
      <c r="J2">
        <v>38.9</v>
      </c>
      <c r="K2" s="3">
        <v>42371</v>
      </c>
      <c r="L2" s="3">
        <v>42373</v>
      </c>
      <c r="M2" s="3">
        <v>42373</v>
      </c>
    </row>
    <row r="3" spans="1:13" x14ac:dyDescent="0.35">
      <c r="A3" t="s">
        <v>25</v>
      </c>
      <c r="B3">
        <v>2</v>
      </c>
      <c r="C3">
        <v>1</v>
      </c>
      <c r="D3">
        <v>2</v>
      </c>
      <c r="E3">
        <v>1</v>
      </c>
      <c r="F3" t="s">
        <v>31</v>
      </c>
      <c r="G3" t="s">
        <v>95</v>
      </c>
      <c r="H3">
        <v>56.470471000000003</v>
      </c>
      <c r="I3">
        <v>-3.1227999999999998</v>
      </c>
      <c r="J3">
        <v>26.4</v>
      </c>
      <c r="K3" s="3">
        <v>42370</v>
      </c>
      <c r="L3" s="3">
        <v>42375</v>
      </c>
      <c r="M3" s="3">
        <v>42370</v>
      </c>
    </row>
    <row r="4" spans="1:13" x14ac:dyDescent="0.35">
      <c r="A4" t="s">
        <v>25</v>
      </c>
      <c r="B4">
        <v>1</v>
      </c>
      <c r="C4">
        <v>2</v>
      </c>
      <c r="D4">
        <v>3</v>
      </c>
      <c r="E4">
        <v>1</v>
      </c>
      <c r="F4" t="s">
        <v>32</v>
      </c>
      <c r="G4" t="s">
        <v>92</v>
      </c>
      <c r="H4">
        <v>56.465794000000002</v>
      </c>
      <c r="I4">
        <v>-3.12696</v>
      </c>
      <c r="J4">
        <v>98.1</v>
      </c>
      <c r="K4" s="3">
        <v>42377</v>
      </c>
      <c r="L4" s="3">
        <v>42372</v>
      </c>
      <c r="M4" s="3">
        <v>42377</v>
      </c>
    </row>
    <row r="5" spans="1:13" x14ac:dyDescent="0.35">
      <c r="A5" t="s">
        <v>25</v>
      </c>
      <c r="B5">
        <v>2</v>
      </c>
      <c r="C5">
        <v>1</v>
      </c>
      <c r="D5">
        <v>4</v>
      </c>
      <c r="E5">
        <v>1</v>
      </c>
      <c r="F5" t="s">
        <v>32</v>
      </c>
      <c r="G5" t="s">
        <v>95</v>
      </c>
      <c r="H5">
        <v>56.468415</v>
      </c>
      <c r="I5">
        <v>-3.1256499999999998</v>
      </c>
      <c r="J5">
        <v>76.5</v>
      </c>
      <c r="K5" s="3">
        <v>42378</v>
      </c>
      <c r="L5" s="3">
        <v>42377</v>
      </c>
      <c r="M5" s="3">
        <v>42374</v>
      </c>
    </row>
    <row r="6" spans="1:13" x14ac:dyDescent="0.35">
      <c r="A6" t="s">
        <v>26</v>
      </c>
      <c r="B6">
        <v>1</v>
      </c>
      <c r="C6">
        <v>1</v>
      </c>
      <c r="D6">
        <v>1</v>
      </c>
      <c r="E6">
        <v>2</v>
      </c>
      <c r="F6" t="s">
        <v>31</v>
      </c>
      <c r="G6" t="s">
        <v>92</v>
      </c>
      <c r="H6">
        <v>56.470269999999999</v>
      </c>
      <c r="I6">
        <v>-3.1406999999999998</v>
      </c>
      <c r="J6">
        <v>76.2</v>
      </c>
      <c r="K6" s="3">
        <v>42376</v>
      </c>
      <c r="L6" s="3"/>
      <c r="M6" s="3">
        <v>42373</v>
      </c>
    </row>
    <row r="7" spans="1:13" x14ac:dyDescent="0.35">
      <c r="A7" t="s">
        <v>26</v>
      </c>
      <c r="B7">
        <v>2</v>
      </c>
      <c r="C7">
        <v>2</v>
      </c>
      <c r="D7">
        <v>2</v>
      </c>
      <c r="E7">
        <v>2</v>
      </c>
      <c r="F7" t="s">
        <v>31</v>
      </c>
      <c r="G7" t="s">
        <v>95</v>
      </c>
      <c r="H7">
        <v>56.471969000000001</v>
      </c>
      <c r="I7">
        <v>-3.11985</v>
      </c>
      <c r="J7">
        <v>62.4</v>
      </c>
      <c r="K7" s="3">
        <v>42374</v>
      </c>
      <c r="L7" s="3"/>
      <c r="M7" s="3">
        <v>42375</v>
      </c>
    </row>
    <row r="8" spans="1:13" x14ac:dyDescent="0.35">
      <c r="A8" t="s">
        <v>26</v>
      </c>
      <c r="B8">
        <v>1</v>
      </c>
      <c r="C8">
        <v>1</v>
      </c>
      <c r="D8">
        <v>3</v>
      </c>
      <c r="E8">
        <v>2</v>
      </c>
      <c r="F8" t="s">
        <v>32</v>
      </c>
      <c r="G8" t="s">
        <v>92</v>
      </c>
      <c r="H8">
        <v>56.468760000000003</v>
      </c>
      <c r="I8">
        <v>-3.1153</v>
      </c>
      <c r="J8">
        <v>56.4</v>
      </c>
      <c r="K8" s="3">
        <v>42371</v>
      </c>
      <c r="L8" s="3">
        <v>42374</v>
      </c>
      <c r="M8" s="3">
        <v>42376</v>
      </c>
    </row>
    <row r="9" spans="1:13" x14ac:dyDescent="0.35">
      <c r="A9" t="s">
        <v>26</v>
      </c>
      <c r="B9">
        <v>2</v>
      </c>
      <c r="C9">
        <v>2</v>
      </c>
      <c r="D9">
        <v>4</v>
      </c>
      <c r="E9">
        <v>2</v>
      </c>
      <c r="F9" t="s">
        <v>32</v>
      </c>
      <c r="G9" t="s">
        <v>95</v>
      </c>
      <c r="H9">
        <v>56.467841999999997</v>
      </c>
      <c r="I9">
        <v>-3.1088</v>
      </c>
      <c r="J9">
        <v>68.900000000000006</v>
      </c>
      <c r="K9" s="3">
        <v>42379</v>
      </c>
      <c r="L9" s="3">
        <v>42376</v>
      </c>
      <c r="M9" s="3">
        <v>42373</v>
      </c>
    </row>
    <row r="10" spans="1:13" x14ac:dyDescent="0.35">
      <c r="A10" t="s">
        <v>27</v>
      </c>
      <c r="B10">
        <v>1</v>
      </c>
      <c r="C10">
        <v>1</v>
      </c>
      <c r="D10">
        <v>1</v>
      </c>
      <c r="E10">
        <v>3</v>
      </c>
      <c r="F10" t="s">
        <v>31</v>
      </c>
      <c r="G10" t="s">
        <v>92</v>
      </c>
      <c r="H10">
        <v>56.469270999999999</v>
      </c>
      <c r="I10">
        <v>-3.14317</v>
      </c>
      <c r="J10">
        <v>85.6</v>
      </c>
      <c r="K10" s="3">
        <v>42373</v>
      </c>
      <c r="L10" s="3">
        <v>42374</v>
      </c>
      <c r="M10" s="3">
        <v>42376</v>
      </c>
    </row>
    <row r="11" spans="1:13" x14ac:dyDescent="0.35">
      <c r="A11" t="s">
        <v>27</v>
      </c>
      <c r="B11">
        <v>2</v>
      </c>
      <c r="C11">
        <v>2</v>
      </c>
      <c r="D11">
        <v>2</v>
      </c>
      <c r="E11">
        <v>3</v>
      </c>
      <c r="F11" t="s">
        <v>31</v>
      </c>
      <c r="G11" t="s">
        <v>95</v>
      </c>
      <c r="H11">
        <v>56.472653000000001</v>
      </c>
      <c r="I11">
        <v>-3.1432699999999998</v>
      </c>
      <c r="J11">
        <v>23.6</v>
      </c>
      <c r="K11" s="3">
        <v>42379</v>
      </c>
      <c r="L11" s="3">
        <v>42376</v>
      </c>
      <c r="M11" s="3">
        <v>42374</v>
      </c>
    </row>
    <row r="12" spans="1:13" x14ac:dyDescent="0.35">
      <c r="A12" t="s">
        <v>27</v>
      </c>
      <c r="B12">
        <v>1</v>
      </c>
      <c r="C12">
        <v>1</v>
      </c>
      <c r="D12">
        <v>3</v>
      </c>
      <c r="E12">
        <v>3</v>
      </c>
      <c r="F12" t="s">
        <v>32</v>
      </c>
      <c r="G12" t="s">
        <v>92</v>
      </c>
      <c r="H12">
        <v>56.461801000000001</v>
      </c>
      <c r="I12">
        <v>-3.1385399999999999</v>
      </c>
      <c r="J12">
        <v>85.9</v>
      </c>
      <c r="K12" s="3"/>
      <c r="L12" s="3">
        <v>42370</v>
      </c>
      <c r="M12" s="3">
        <v>42372</v>
      </c>
    </row>
    <row r="13" spans="1:13" x14ac:dyDescent="0.35">
      <c r="K13" s="3"/>
      <c r="L13" s="3"/>
    </row>
    <row r="14" spans="1:13" x14ac:dyDescent="0.35">
      <c r="K14" s="3"/>
      <c r="L14" s="3"/>
      <c r="M14" s="3"/>
    </row>
    <row r="15" spans="1:13" x14ac:dyDescent="0.35">
      <c r="L15" s="3"/>
      <c r="M15" s="3"/>
    </row>
    <row r="16" spans="1:13" x14ac:dyDescent="0.35">
      <c r="L16" s="3"/>
      <c r="M16" s="3"/>
    </row>
    <row r="17" spans="11:13" x14ac:dyDescent="0.35">
      <c r="K17" s="3"/>
      <c r="L17" s="3"/>
    </row>
    <row r="18" spans="11:13" x14ac:dyDescent="0.35">
      <c r="L18" s="3"/>
      <c r="M18" s="3"/>
    </row>
    <row r="19" spans="11:13" x14ac:dyDescent="0.35">
      <c r="K19" s="3"/>
      <c r="M19" s="3"/>
    </row>
    <row r="20" spans="11:13" x14ac:dyDescent="0.35">
      <c r="L20" s="3"/>
    </row>
  </sheetData>
  <dataValidations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J1" xr:uid="{00000000-0002-0000-0600-000000000000}"/>
  </dataValidations>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METADATA</vt:lpstr>
      <vt:lpstr>PHENOTYPES</vt:lpstr>
      <vt:lpstr>DATA</vt:lpstr>
      <vt:lpstr>RECORDING_DATES</vt:lpstr>
      <vt:lpstr>ATTRIBUTES</vt:lpstr>
      <vt:lpstr>COLLABORATORS</vt:lpstr>
      <vt:lpstr>LOCATION</vt:lpstr>
      <vt:lpstr>LOCATION_EXAMPLE</vt:lpstr>
      <vt:lpstr>PHENOTYPES_EXAMPLE</vt:lpstr>
      <vt:lpstr>DATA_EXAMPLE</vt:lpstr>
      <vt:lpstr>RECORDING_DATES_EXAMPLE</vt:lpstr>
    </vt:vector>
  </TitlesOfParts>
  <Company>The James Hutton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Shaw</dc:creator>
  <cp:lastModifiedBy>Agnes Aboagye</cp:lastModifiedBy>
  <dcterms:created xsi:type="dcterms:W3CDTF">2017-01-20T11:24:37Z</dcterms:created>
  <dcterms:modified xsi:type="dcterms:W3CDTF">2026-08-21T20:58:44Z</dcterms:modified>
  <cp:category>trials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43d7210f-aef3-47c2-ae3d-1cef696a3600</vt:lpwstr>
  </property>
</Properties>
</file>