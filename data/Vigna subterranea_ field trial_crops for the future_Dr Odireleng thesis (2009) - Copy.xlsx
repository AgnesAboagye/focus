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326" documentId="13_ncr:1_{06FE2063-2CFE-4F7F-928D-A4F91A70908C}" xr6:coauthVersionLast="47" xr6:coauthVersionMax="47" xr10:uidLastSave="{86915E0E-C09F-4438-A92E-50E6E08AD76E}"/>
  <bookViews>
    <workbookView xWindow="-120" yWindow="-120" windowWidth="29040" windowHeight="1572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<sst xmlns="http://schemas.openxmlformats.org/spreadsheetml/2006/main" count="506" uniqueCount="242">
  <si>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</si>
  <si>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</si>
  <si>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</si>
  <si>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</si>
  <si>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</si>
  <si>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</si>
  <si>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</si>
  <si>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</si>
  <si>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</si>
  <si>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</si>
  <si>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</si>
  <si>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</si>
  <si>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</si>
  <si>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</si>
  <si>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</si>
  <si>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</si>
  <si>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</si>
  <si>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</si>
  <si>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</si>
  <si>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</si>
  <si>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</si>
  <si>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</si>
  <si>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</si>
  <si>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</si>
  <si>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</si>
  <si>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</si>
  <si>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</si>
  <si>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</si>
  <si>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</si>
  <si>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</si>
  <si>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</si>
  <si>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</si>
  <si>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</si>
  <si>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</si>
  <si>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</si>
  <si>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</si>
  <si>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</si>
  <si>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</si>
  <si>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</si>
  <si>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</si>
  <si>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</si>
  <si>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</si>
  <si>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</si>
  <si>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</si>
  <si>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</si>
  <si>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</si>
  <si>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</si>
  <si>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</si>
  <si>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</si>
  <si>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</si>
  <si>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</si>
  <si>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</si>
  <si>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</si>
  <si>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</si>
  <si>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</si>
  <si>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</si>
  <si>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</si>
  <si>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</si>
  <si>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</si>
  <si>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</si>
  <si>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</si>
  <si>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</si>
  <si>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</si>
  <si>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</si>
  <si>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</si>
  <si>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</si>
  <si>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</si>
  <si>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</si>
  <si>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</si>
  <si>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</si>
  <si>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</si>
  <si>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</si>
  <si>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</si>
  <si>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</si>
  <si>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</si>
  <si>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</si>
  <si>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</si>
  <si>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</si>
  <si>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</si>
  <si>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</si>
  <si>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</si>
  <si>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</si>
  <si>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</si>
  <si>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</si>
  <si>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</si>
  <si>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</si>
  <si>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</si>
  <si>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</si>
  <si>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</si>
  <si>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</si>
  <si>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</si>
  <si>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</si>
  <si>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</si>
  <si>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</si>
  <si>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</si>
  <si>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</si>
  <si>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</si>
  <si>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</si>
  <si>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</si>
  <si>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</si>
  <si>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</si>
  <si>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</si>
  <si>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</si>
  <si>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</si>
  <si>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</si>
  <si>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</si>
  <si>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</si>
  <si>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</si>
  <si>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</si>
  <si>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</si>
  <si>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</si>
  <si>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</si>
  <si>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</si>
  <si>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</si>
  <si>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</si>
  <si>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</si>
  <si>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</si>
  <si>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Days to Emergence</t>
  </si>
  <si>
    <t>Number of days from sowing to emergence of first fully expanded leaf</t>
  </si>
  <si>
    <t>days</t>
  </si>
  <si>
    <t>Days to 50% Flowering</t>
  </si>
  <si>
    <t>Number of days from sowing to when first flower opens on 50% of plant</t>
  </si>
  <si>
    <t>Days to Maturity</t>
  </si>
  <si>
    <t>Number of days from sowing to full maturity</t>
  </si>
  <si>
    <t>Leaf number</t>
  </si>
  <si>
    <t xml:space="preserve">Total number of leaves per plant </t>
  </si>
  <si>
    <t>number</t>
  </si>
  <si>
    <t>leaflet length</t>
  </si>
  <si>
    <t xml:space="preserve">Length of median leaflet at the fourth internode </t>
  </si>
  <si>
    <t xml:space="preserve">millimeters </t>
  </si>
  <si>
    <t>mm</t>
  </si>
  <si>
    <t>Leaflet width</t>
  </si>
  <si>
    <t>Average width of three leaves at the fourth node of five healthy plants</t>
  </si>
  <si>
    <t>Internode length</t>
  </si>
  <si>
    <t>Length of fourth internode of the longest stem,</t>
  </si>
  <si>
    <t>Petiole length</t>
  </si>
  <si>
    <t xml:space="preserve">Measure at the stem node to the junction of the three leaflets  at the longest stem at the fourth node </t>
  </si>
  <si>
    <t>Petiole-internode ratio</t>
  </si>
  <si>
    <t>The ratio of measurement of the petiole to internode</t>
  </si>
  <si>
    <t>ratio</t>
  </si>
  <si>
    <t xml:space="preserve">Recorded at the base of the leaflet of the longest petiolule at fourth internode </t>
  </si>
  <si>
    <t>Peduncle length</t>
  </si>
  <si>
    <t>Recorded on the fourth internode of the longest stem</t>
  </si>
  <si>
    <t>Plant spread</t>
  </si>
  <si>
    <t>Average of five plants. Widest length between two opposite points</t>
  </si>
  <si>
    <t xml:space="preserve">centimeters </t>
  </si>
  <si>
    <t>Plant height</t>
  </si>
  <si>
    <t>Measured from the ground level (at the base of the plant) to the tip of the highestpoint, including the terminal leaflet of 5 plants</t>
  </si>
  <si>
    <t>Pods per plant</t>
  </si>
  <si>
    <t>Average number of pods recorded from 5 plants recorded per plot</t>
  </si>
  <si>
    <t>Pod dry weight</t>
  </si>
  <si>
    <t xml:space="preserve">Average weight of pods taken from 5 plants per plot </t>
  </si>
  <si>
    <t xml:space="preserve">gram </t>
  </si>
  <si>
    <t>g</t>
  </si>
  <si>
    <t>Pod width</t>
  </si>
  <si>
    <t xml:space="preserve">Average width of pods taken from 5 plants per plot </t>
  </si>
  <si>
    <t>Pod length</t>
  </si>
  <si>
    <t>Average length of 10 pods</t>
  </si>
  <si>
    <t>Seed weight</t>
  </si>
  <si>
    <t>Average weight of seeds from 5 plants taken with a plot after drying</t>
  </si>
  <si>
    <t>Seed width</t>
  </si>
  <si>
    <t>Average width of seed from 5 plants taken with plot after drying</t>
  </si>
  <si>
    <t>Seeds per plant</t>
  </si>
  <si>
    <t xml:space="preserve">Average number of seeds taken from 5 plants per plot </t>
  </si>
  <si>
    <t>seed length</t>
  </si>
  <si>
    <t>Average of seed length from 5 seeds taken per plot</t>
  </si>
  <si>
    <t>millimeters</t>
  </si>
  <si>
    <t>Single seed weight</t>
  </si>
  <si>
    <t>Average of 100 seed weight</t>
  </si>
  <si>
    <t>Shoot Dry Weight</t>
  </si>
  <si>
    <t>Weight of aboveground  biomassof harvested plants</t>
  </si>
  <si>
    <t>Shell thickness</t>
  </si>
  <si>
    <t>Recorded within two months after harvest; average thickness of 10 pod</t>
  </si>
  <si>
    <t>Shell weight</t>
  </si>
  <si>
    <t xml:space="preserve">100 dry pods  weighed then shelled  </t>
  </si>
  <si>
    <t>Average percentage of 10 pods based on weight of mature seeds (at 12% moisture content)</t>
  </si>
  <si>
    <t xml:space="preserve">percentage </t>
  </si>
  <si>
    <t>%</t>
  </si>
  <si>
    <t>Number of stems</t>
  </si>
  <si>
    <t>Number of stem recorded from selected plants</t>
  </si>
  <si>
    <t>Vst_GNL_0009</t>
  </si>
  <si>
    <t>Vst_GNL_0144</t>
  </si>
  <si>
    <t>Vst_GNL_0289</t>
  </si>
  <si>
    <t>Vst_GNL_1276</t>
  </si>
  <si>
    <t>Vst_GNL_0118</t>
  </si>
  <si>
    <t>Vst_GNL_0476</t>
  </si>
  <si>
    <t>Vst_GNL_0484</t>
  </si>
  <si>
    <t>Vst_GNL_0536</t>
  </si>
  <si>
    <t>Vst_GNL_0231</t>
  </si>
  <si>
    <t>Vst_GNL_0790</t>
  </si>
  <si>
    <t>Vst_GNL_0792</t>
  </si>
  <si>
    <t>Vst_GNL_0089</t>
  </si>
  <si>
    <t>Vst_GNL_0032</t>
  </si>
  <si>
    <t>Vst_GNL_0286</t>
  </si>
  <si>
    <t>Vst_GNL_0329</t>
  </si>
  <si>
    <t>Vst_GNL_0335</t>
  </si>
  <si>
    <t>Vst_GNL_0390</t>
  </si>
  <si>
    <t>Vst_GNL_0385</t>
  </si>
  <si>
    <t>Vst_GNL_0696</t>
  </si>
  <si>
    <t>Vst_GNL_0754</t>
  </si>
  <si>
    <t>Vst_GNL_0753</t>
  </si>
  <si>
    <t>Vst_GNL_1903</t>
  </si>
  <si>
    <t>Vst_GNL_UNIS</t>
  </si>
  <si>
    <t>Vst_GNL_0968</t>
  </si>
  <si>
    <t>Vst_GNL_1913</t>
  </si>
  <si>
    <t>Vst_GNL_MHNB</t>
  </si>
  <si>
    <t>Vst_GNL_BWA1</t>
  </si>
  <si>
    <t>Vst_GNL_BWA5</t>
  </si>
  <si>
    <t>Vst_GNL_0006</t>
  </si>
  <si>
    <t>Vst_GNL_RAMY</t>
  </si>
  <si>
    <t>Vst_GNL_HYBD</t>
  </si>
  <si>
    <t>Petiole length2</t>
  </si>
  <si>
    <t>Notswane Farm, Gabarone</t>
  </si>
  <si>
    <t>BW</t>
  </si>
  <si>
    <t>c</t>
  </si>
  <si>
    <t>Leaflet length</t>
  </si>
  <si>
    <t>Shelling Percentage</t>
  </si>
  <si>
    <t>DtE</t>
  </si>
  <si>
    <t>DtF</t>
  </si>
  <si>
    <t>DtM</t>
  </si>
  <si>
    <t>LLeaf nL</t>
  </si>
  <si>
    <t>lleafle</t>
  </si>
  <si>
    <t>LLeafleL</t>
  </si>
  <si>
    <t>IInternI</t>
  </si>
  <si>
    <t>PPetiolP</t>
  </si>
  <si>
    <t>PlP</t>
  </si>
  <si>
    <t>PPeduncP</t>
  </si>
  <si>
    <t>PPlant P</t>
  </si>
  <si>
    <t>PpP</t>
  </si>
  <si>
    <t>PdrP</t>
  </si>
  <si>
    <t>PPod wiP</t>
  </si>
  <si>
    <t>PPod leP</t>
  </si>
  <si>
    <t>SSeed wS</t>
  </si>
  <si>
    <t>SS</t>
  </si>
  <si>
    <t>sseed l</t>
  </si>
  <si>
    <t>SeS</t>
  </si>
  <si>
    <t>SW</t>
  </si>
  <si>
    <t>SShell S</t>
  </si>
  <si>
    <t>SShelliP</t>
  </si>
  <si>
    <t>NrN</t>
  </si>
  <si>
    <t>Field trials in Gabaone, Botswana to study morhological and genetic diversity of 31 single genotype plants. Each plant was picked from one of three plants (A,B,C) from the lines tested in Agronomy Bay (2009), supervised by Sean Mayes</t>
  </si>
  <si>
    <r>
      <t>Bambara groundnut</t>
    </r>
    <r>
      <rPr>
        <i/>
        <sz val="11"/>
        <color theme="1"/>
        <rFont val="Calibri"/>
        <family val="2"/>
        <scheme val="minor"/>
      </rPr>
      <t xml:space="preserve"> (Vigna Subterranea) </t>
    </r>
    <r>
      <rPr>
        <sz val="11"/>
        <color theme="1"/>
        <rFont val="Calibri"/>
        <family val="2"/>
        <scheme val="minor"/>
      </rPr>
      <t xml:space="preserve">glasshouse trial at Gabaone Botswana, PhD project of Odireleng Molosiwa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</si>
</sst>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name val="Calibri"/>
      <family val="2"/>
      <scheme val="minor"/>
    </font>
    <font>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8">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0" fillId="5" borderId="1" xfId="0" applyFont="1" applyFill="1" applyBorder="1" applyAlignment="1">
      <alignment vertical="top" wrapText="1"/>
    </xf>
    <xf numFmtId="0" fontId="0" fillId="5" borderId="0" xfId="0" applyFont="1"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28" totalsRowShown="0">
  <autoFilter ref="A1:J28"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K32" totalsRowShown="0">
  <autoFilter ref="A1:AK32" xr:uid="{C24E8378-3794-454E-84CF-B08C2B5A27D2}"/>
  <tableColumns count="3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E7AF3191-97E9-4868-B905-7DA3604CF96F}" name="Days to Emergence"/>
    <tableColumn id="12" xr3:uid="{15D4CC4F-1BE5-487E-88AA-C2AE332770EB}" name="Days to 50% Flowering"/>
    <tableColumn id="13" xr3:uid="{34A1DD2A-3ACE-4DBC-B706-C7F18BC75457}" name="Days to Maturity"/>
    <tableColumn id="14" xr3:uid="{91F8C1DF-DAEF-468A-9E06-C79AC654248B}" name="Leaf number"/>
    <tableColumn id="15" xr3:uid="{06115F63-56B0-43EC-B2C0-C20157E74BFF}" name="Leaflet length"/>
    <tableColumn id="16" xr3:uid="{5C090F64-CA60-40DD-AA44-5FD344D37DEF}" name="Leaflet width"/>
    <tableColumn id="17" xr3:uid="{67118530-D55E-4CFB-8478-0B44A03097E7}" name="Internode length"/>
    <tableColumn id="18" xr3:uid="{6F7B84A5-D3C9-41BD-924D-638528D0BCA2}" name="Petiole length"/>
    <tableColumn id="19" xr3:uid="{360CF2CC-BB3D-49EE-82C2-219FC192B192}" name="Petiole-internode ratio"/>
    <tableColumn id="20" xr3:uid="{177D93DB-4ED7-4F4C-BBE1-B4F8C8F9B362}" name="Petiole length2"/>
    <tableColumn id="21" xr3:uid="{03CA7CE6-80C5-49E4-BDF4-516585DAA2E6}" name="Peduncle length"/>
    <tableColumn id="22" xr3:uid="{98F2186E-AF43-490D-AC5E-FA294549B53A}" name="Plant spread"/>
    <tableColumn id="23" xr3:uid="{DADE60D0-15B1-4C40-9AB6-C96965DD9E50}" name="Plant height"/>
    <tableColumn id="24" xr3:uid="{0BD66EF4-7745-483E-9B64-B867DDB28B3D}" name="Pods per plant"/>
    <tableColumn id="25" xr3:uid="{4D5CD4E7-5BB0-42AF-9DF7-CFF347E3C473}" name="Pod dry weight"/>
    <tableColumn id="26" xr3:uid="{843CB62F-84EF-4EC9-B92D-1122F298F8FB}" name="Pod width"/>
    <tableColumn id="27" xr3:uid="{E7E273B4-312C-440A-9555-42E9ABB740BD}" name="Pod length"/>
    <tableColumn id="28" xr3:uid="{59E0A882-4629-45DF-ADDE-B3C6A3AA6845}" name="Seed weight"/>
    <tableColumn id="29" xr3:uid="{E4506990-03FE-43D0-9A13-B613E4253CC7}" name="Seed width"/>
    <tableColumn id="30" xr3:uid="{9930049B-AEAE-4151-B42C-956E7B590F87}" name="Seeds per plant"/>
    <tableColumn id="31" xr3:uid="{52464224-CC4A-450C-9499-301AB0C16D17}" name="seed length"/>
    <tableColumn id="32" xr3:uid="{8BC768E7-C881-40AE-B697-C6B0D218E095}" name="Single seed weight"/>
    <tableColumn id="33" xr3:uid="{0F421256-A767-43B2-9772-46F6DB5EFC6E}" name="Shoot Dry Weight"/>
    <tableColumn id="34" xr3:uid="{66841C7C-2675-4FC2-98CE-DD839269D8B0}" name="Shell thickness"/>
    <tableColumn id="35" xr3:uid="{BD7E79DC-B5C8-4091-8975-28A48A4B0D23}" name="Shell weight"/>
    <tableColumn id="36" xr3:uid="{C125873A-47D9-4DA8-B381-B44ACED5FDCB}" name="Shelling Percentage"/>
    <tableColumn id="37" xr3:uid="{30E3E435-C614-4F17-9822-D70883E9255B}" name="Number of s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106" zoomScaleNormal="106" workbookViewId="0">
      <selection activeCell="C5" sqref="C5"/>
    </sheetView>
  </sheetViews>
  <sheetFormatPr defaultColWidth="9.140625" defaultRowHeight="15" x14ac:dyDescent="0.2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7" t="s">
        <v>241</v>
      </c>
    </row>
    <row r="3" spans="1:3" ht="45" x14ac:dyDescent="0.25">
      <c r="A3" s="20" t="s">
        <v>2</v>
      </c>
      <c r="B3" s="7" t="s">
        <v>46</v>
      </c>
      <c r="C3" s="26" t="s">
        <v>240</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workbookViewId="0">
      <selection activeCell="B7" sqref="B7"/>
    </sheetView>
  </sheetViews>
  <sheetFormatPr defaultRowHeight="15" x14ac:dyDescent="0.25"/>
  <cols>
    <col min="1" max="1" width="25" customWidth="1"/>
    <col min="2" max="2" width="13.7109375" bestFit="1" customWidth="1"/>
    <col min="3" max="3" width="118"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t="s">
        <v>117</v>
      </c>
      <c r="B2" t="s">
        <v>217</v>
      </c>
      <c r="C2" t="s">
        <v>118</v>
      </c>
      <c r="D2" t="s">
        <v>85</v>
      </c>
      <c r="E2" t="s">
        <v>119</v>
      </c>
      <c r="G2" t="s">
        <v>119</v>
      </c>
      <c r="L2" t="s">
        <v>85</v>
      </c>
    </row>
    <row r="3" spans="1:12" x14ac:dyDescent="0.25">
      <c r="A3" t="s">
        <v>120</v>
      </c>
      <c r="B3" t="s">
        <v>218</v>
      </c>
      <c r="C3" t="s">
        <v>121</v>
      </c>
      <c r="D3" t="s">
        <v>85</v>
      </c>
      <c r="E3" t="s">
        <v>119</v>
      </c>
      <c r="G3" t="s">
        <v>119</v>
      </c>
      <c r="L3" t="s">
        <v>86</v>
      </c>
    </row>
    <row r="4" spans="1:12" x14ac:dyDescent="0.25">
      <c r="A4" t="s">
        <v>122</v>
      </c>
      <c r="B4" t="s">
        <v>219</v>
      </c>
      <c r="C4" t="s">
        <v>123</v>
      </c>
      <c r="D4" t="s">
        <v>85</v>
      </c>
      <c r="E4" t="s">
        <v>119</v>
      </c>
      <c r="G4" t="s">
        <v>119</v>
      </c>
      <c r="L4" t="s">
        <v>87</v>
      </c>
    </row>
    <row r="5" spans="1:12" x14ac:dyDescent="0.25">
      <c r="A5" t="s">
        <v>124</v>
      </c>
      <c r="B5" t="s">
        <v>220</v>
      </c>
      <c r="C5" t="s">
        <v>125</v>
      </c>
      <c r="D5" t="s">
        <v>85</v>
      </c>
      <c r="E5" t="s">
        <v>126</v>
      </c>
      <c r="G5" t="s">
        <v>126</v>
      </c>
      <c r="L5" t="s">
        <v>76</v>
      </c>
    </row>
    <row r="6" spans="1:12" x14ac:dyDescent="0.25">
      <c r="A6" t="s">
        <v>127</v>
      </c>
      <c r="B6" t="s">
        <v>221</v>
      </c>
      <c r="C6" t="s">
        <v>128</v>
      </c>
      <c r="D6" t="s">
        <v>85</v>
      </c>
      <c r="E6" t="s">
        <v>129</v>
      </c>
      <c r="F6" t="s">
        <v>130</v>
      </c>
      <c r="G6" t="s">
        <v>129</v>
      </c>
    </row>
    <row r="7" spans="1:12" x14ac:dyDescent="0.25">
      <c r="A7" t="s">
        <v>131</v>
      </c>
      <c r="B7" t="s">
        <v>222</v>
      </c>
      <c r="C7" t="s">
        <v>132</v>
      </c>
      <c r="D7" t="s">
        <v>85</v>
      </c>
      <c r="E7" t="s">
        <v>129</v>
      </c>
      <c r="F7" t="s">
        <v>130</v>
      </c>
      <c r="G7" t="s">
        <v>129</v>
      </c>
    </row>
    <row r="8" spans="1:12" x14ac:dyDescent="0.25">
      <c r="A8" t="s">
        <v>133</v>
      </c>
      <c r="B8" t="s">
        <v>223</v>
      </c>
      <c r="C8" t="s">
        <v>134</v>
      </c>
      <c r="D8" t="s">
        <v>85</v>
      </c>
      <c r="E8" t="s">
        <v>129</v>
      </c>
      <c r="F8" t="s">
        <v>130</v>
      </c>
      <c r="G8" t="s">
        <v>129</v>
      </c>
    </row>
    <row r="9" spans="1:12" x14ac:dyDescent="0.25">
      <c r="A9" t="s">
        <v>135</v>
      </c>
      <c r="B9" t="s">
        <v>224</v>
      </c>
      <c r="C9" t="s">
        <v>136</v>
      </c>
      <c r="D9" t="s">
        <v>85</v>
      </c>
      <c r="E9" t="s">
        <v>129</v>
      </c>
      <c r="F9" t="s">
        <v>130</v>
      </c>
      <c r="G9" t="s">
        <v>129</v>
      </c>
    </row>
    <row r="10" spans="1:12" x14ac:dyDescent="0.25">
      <c r="A10" t="s">
        <v>137</v>
      </c>
      <c r="B10" t="s">
        <v>225</v>
      </c>
      <c r="C10" t="s">
        <v>138</v>
      </c>
      <c r="D10" t="s">
        <v>85</v>
      </c>
      <c r="E10" t="s">
        <v>139</v>
      </c>
      <c r="G10" t="s">
        <v>139</v>
      </c>
    </row>
    <row r="11" spans="1:12" x14ac:dyDescent="0.25">
      <c r="A11" t="s">
        <v>211</v>
      </c>
      <c r="B11" t="s">
        <v>224</v>
      </c>
      <c r="C11" t="s">
        <v>140</v>
      </c>
      <c r="D11" t="s">
        <v>85</v>
      </c>
      <c r="E11" t="s">
        <v>129</v>
      </c>
      <c r="F11" t="s">
        <v>130</v>
      </c>
      <c r="G11" t="s">
        <v>129</v>
      </c>
    </row>
    <row r="12" spans="1:12" x14ac:dyDescent="0.25">
      <c r="A12" t="s">
        <v>141</v>
      </c>
      <c r="B12" t="s">
        <v>226</v>
      </c>
      <c r="C12" t="s">
        <v>142</v>
      </c>
      <c r="D12" t="s">
        <v>85</v>
      </c>
      <c r="E12" t="s">
        <v>129</v>
      </c>
      <c r="F12" t="s">
        <v>130</v>
      </c>
      <c r="G12" t="s">
        <v>129</v>
      </c>
    </row>
    <row r="13" spans="1:12" x14ac:dyDescent="0.25">
      <c r="A13" t="s">
        <v>143</v>
      </c>
      <c r="B13" t="s">
        <v>227</v>
      </c>
      <c r="C13" t="s">
        <v>144</v>
      </c>
      <c r="D13" t="s">
        <v>85</v>
      </c>
      <c r="E13" t="s">
        <v>145</v>
      </c>
      <c r="F13" t="s">
        <v>14</v>
      </c>
      <c r="G13" t="s">
        <v>145</v>
      </c>
    </row>
    <row r="14" spans="1:12" x14ac:dyDescent="0.25">
      <c r="A14" t="s">
        <v>146</v>
      </c>
      <c r="B14" t="s">
        <v>227</v>
      </c>
      <c r="C14" t="s">
        <v>147</v>
      </c>
      <c r="D14" t="s">
        <v>85</v>
      </c>
      <c r="E14" t="s">
        <v>145</v>
      </c>
      <c r="F14" t="s">
        <v>14</v>
      </c>
      <c r="G14" t="s">
        <v>145</v>
      </c>
    </row>
    <row r="15" spans="1:12" x14ac:dyDescent="0.25">
      <c r="A15" t="s">
        <v>148</v>
      </c>
      <c r="B15" t="s">
        <v>228</v>
      </c>
      <c r="C15" t="s">
        <v>149</v>
      </c>
      <c r="D15" t="s">
        <v>85</v>
      </c>
      <c r="E15" t="s">
        <v>126</v>
      </c>
      <c r="G15" t="s">
        <v>126</v>
      </c>
    </row>
    <row r="16" spans="1:12" x14ac:dyDescent="0.25">
      <c r="A16" t="s">
        <v>150</v>
      </c>
      <c r="B16" t="s">
        <v>229</v>
      </c>
      <c r="C16" t="s">
        <v>151</v>
      </c>
      <c r="D16" t="s">
        <v>85</v>
      </c>
      <c r="E16" t="s">
        <v>152</v>
      </c>
      <c r="F16" t="s">
        <v>153</v>
      </c>
      <c r="G16" t="s">
        <v>152</v>
      </c>
    </row>
    <row r="17" spans="1:7" x14ac:dyDescent="0.25">
      <c r="A17" t="s">
        <v>154</v>
      </c>
      <c r="B17" t="s">
        <v>230</v>
      </c>
      <c r="C17" t="s">
        <v>155</v>
      </c>
      <c r="D17" t="s">
        <v>85</v>
      </c>
      <c r="E17" t="s">
        <v>129</v>
      </c>
      <c r="F17" t="s">
        <v>130</v>
      </c>
      <c r="G17" t="s">
        <v>129</v>
      </c>
    </row>
    <row r="18" spans="1:7" x14ac:dyDescent="0.25">
      <c r="A18" t="s">
        <v>156</v>
      </c>
      <c r="B18" t="s">
        <v>231</v>
      </c>
      <c r="C18" t="s">
        <v>157</v>
      </c>
      <c r="D18" t="s">
        <v>85</v>
      </c>
      <c r="E18" t="s">
        <v>129</v>
      </c>
      <c r="F18" t="s">
        <v>130</v>
      </c>
      <c r="G18" t="s">
        <v>129</v>
      </c>
    </row>
    <row r="19" spans="1:7" x14ac:dyDescent="0.25">
      <c r="A19" t="s">
        <v>158</v>
      </c>
      <c r="B19" t="s">
        <v>232</v>
      </c>
      <c r="C19" t="s">
        <v>159</v>
      </c>
      <c r="D19" t="s">
        <v>85</v>
      </c>
      <c r="E19" t="s">
        <v>152</v>
      </c>
      <c r="F19" t="s">
        <v>153</v>
      </c>
      <c r="G19" t="s">
        <v>152</v>
      </c>
    </row>
    <row r="20" spans="1:7" x14ac:dyDescent="0.25">
      <c r="A20" t="s">
        <v>160</v>
      </c>
      <c r="B20" t="s">
        <v>232</v>
      </c>
      <c r="C20" t="s">
        <v>161</v>
      </c>
      <c r="D20" t="s">
        <v>85</v>
      </c>
      <c r="E20" t="s">
        <v>129</v>
      </c>
      <c r="F20" t="s">
        <v>130</v>
      </c>
      <c r="G20" t="s">
        <v>129</v>
      </c>
    </row>
    <row r="21" spans="1:7" x14ac:dyDescent="0.25">
      <c r="A21" t="s">
        <v>162</v>
      </c>
      <c r="B21" t="s">
        <v>233</v>
      </c>
      <c r="C21" t="s">
        <v>163</v>
      </c>
      <c r="D21" t="s">
        <v>85</v>
      </c>
      <c r="E21" t="s">
        <v>126</v>
      </c>
      <c r="G21" t="s">
        <v>126</v>
      </c>
    </row>
    <row r="22" spans="1:7" x14ac:dyDescent="0.25">
      <c r="A22" t="s">
        <v>164</v>
      </c>
      <c r="B22" t="s">
        <v>234</v>
      </c>
      <c r="C22" t="s">
        <v>165</v>
      </c>
      <c r="D22" t="s">
        <v>85</v>
      </c>
      <c r="E22" t="s">
        <v>166</v>
      </c>
      <c r="F22" t="s">
        <v>130</v>
      </c>
      <c r="G22" t="s">
        <v>166</v>
      </c>
    </row>
    <row r="23" spans="1:7" x14ac:dyDescent="0.25">
      <c r="A23" t="s">
        <v>167</v>
      </c>
      <c r="B23" t="s">
        <v>235</v>
      </c>
      <c r="C23" t="s">
        <v>168</v>
      </c>
      <c r="D23" t="s">
        <v>85</v>
      </c>
      <c r="E23" t="s">
        <v>152</v>
      </c>
      <c r="F23" t="s">
        <v>153</v>
      </c>
      <c r="G23" t="s">
        <v>152</v>
      </c>
    </row>
    <row r="24" spans="1:7" x14ac:dyDescent="0.25">
      <c r="A24" t="s">
        <v>169</v>
      </c>
      <c r="B24" t="s">
        <v>236</v>
      </c>
      <c r="C24" t="s">
        <v>170</v>
      </c>
      <c r="D24" t="s">
        <v>85</v>
      </c>
      <c r="E24" t="s">
        <v>152</v>
      </c>
      <c r="F24" t="s">
        <v>153</v>
      </c>
      <c r="G24" t="s">
        <v>152</v>
      </c>
    </row>
    <row r="25" spans="1:7" x14ac:dyDescent="0.25">
      <c r="A25" t="s">
        <v>171</v>
      </c>
      <c r="B25" t="s">
        <v>237</v>
      </c>
      <c r="C25" t="s">
        <v>172</v>
      </c>
      <c r="D25" t="s">
        <v>85</v>
      </c>
      <c r="E25" t="s">
        <v>166</v>
      </c>
      <c r="F25" t="s">
        <v>130</v>
      </c>
      <c r="G25" t="s">
        <v>166</v>
      </c>
    </row>
    <row r="26" spans="1:7" x14ac:dyDescent="0.25">
      <c r="A26" t="s">
        <v>173</v>
      </c>
      <c r="B26" t="s">
        <v>237</v>
      </c>
      <c r="C26" t="s">
        <v>174</v>
      </c>
      <c r="D26" t="s">
        <v>85</v>
      </c>
      <c r="E26" t="s">
        <v>152</v>
      </c>
      <c r="F26" t="s">
        <v>153</v>
      </c>
      <c r="G26" t="s">
        <v>152</v>
      </c>
    </row>
    <row r="27" spans="1:7" x14ac:dyDescent="0.25">
      <c r="A27" t="s">
        <v>216</v>
      </c>
      <c r="B27" t="s">
        <v>238</v>
      </c>
      <c r="C27" t="s">
        <v>175</v>
      </c>
      <c r="D27" t="s">
        <v>85</v>
      </c>
      <c r="E27" t="s">
        <v>176</v>
      </c>
      <c r="F27" t="s">
        <v>177</v>
      </c>
      <c r="G27" t="s">
        <v>176</v>
      </c>
    </row>
    <row r="28" spans="1:7" x14ac:dyDescent="0.25">
      <c r="A28" t="s">
        <v>178</v>
      </c>
      <c r="B28" t="s">
        <v>239</v>
      </c>
      <c r="C28" t="s">
        <v>179</v>
      </c>
      <c r="D28" t="s">
        <v>85</v>
      </c>
      <c r="E28" t="s">
        <v>126</v>
      </c>
      <c r="G28" t="s">
        <v>126</v>
      </c>
    </row>
  </sheetData>
  <conditionalFormatting sqref="A2:A28 D2:D28">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29:D1048576" xr:uid="{82E3529B-0246-482A-A1C4-DA13B1AEE9F4}">
      <formula1>$L$2:$L$4</formula1>
    </dataValidation>
    <dataValidation type="list" allowBlank="1" showInputMessage="1" showErrorMessage="1" sqref="D2:D2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2"/>
  <sheetViews>
    <sheetView workbookViewId="0">
      <selection activeCell="C18" sqref="C18"/>
    </sheetView>
  </sheetViews>
  <sheetFormatPr defaultRowHeight="15" x14ac:dyDescent="0.25"/>
  <cols>
    <col min="1" max="1" width="17.7109375" bestFit="1" customWidth="1"/>
    <col min="2" max="2" width="6.7109375" bestFit="1" customWidth="1"/>
    <col min="3" max="5" width="11.42578125" bestFit="1" customWidth="1"/>
    <col min="6" max="6" width="12.5703125" bestFit="1" customWidth="1"/>
    <col min="7" max="7" width="15.140625" customWidth="1"/>
    <col min="8" max="8" width="11.42578125" bestFit="1" customWidth="1"/>
    <col min="9" max="9" width="12.140625" bestFit="1" customWidth="1"/>
    <col min="10" max="10" width="11.5703125" bestFit="1" customWidth="1"/>
    <col min="11" max="11" width="20.28515625" bestFit="1" customWidth="1"/>
    <col min="12" max="12" width="23.28515625" bestFit="1" customWidth="1"/>
    <col min="13" max="13" width="18" bestFit="1" customWidth="1"/>
    <col min="14" max="14" width="14.42578125" bestFit="1" customWidth="1"/>
    <col min="15" max="15" width="15.7109375" bestFit="1" customWidth="1"/>
    <col min="16" max="16" width="15" bestFit="1" customWidth="1"/>
    <col min="17" max="17" width="18.42578125" bestFit="1" customWidth="1"/>
    <col min="18" max="18" width="19.42578125" customWidth="1"/>
    <col min="19" max="19" width="24.28515625" bestFit="1" customWidth="1"/>
    <col min="20" max="20" width="17" bestFit="1" customWidth="1"/>
    <col min="21" max="21" width="18.28515625" customWidth="1"/>
    <col min="22" max="22" width="20.5703125" customWidth="1"/>
    <col min="23" max="23" width="17.7109375" customWidth="1"/>
    <col min="24" max="24" width="16.140625" bestFit="1" customWidth="1"/>
    <col min="25" max="25" width="21.28515625" customWidth="1"/>
    <col min="26" max="26" width="14.42578125" customWidth="1"/>
    <col min="27" max="27" width="15.85546875" customWidth="1"/>
    <col min="28" max="28" width="14.85546875" customWidth="1"/>
    <col min="29" max="29" width="13.28515625" bestFit="1" customWidth="1"/>
    <col min="30" max="30" width="20.85546875" customWidth="1"/>
    <col min="31" max="31" width="15.140625" customWidth="1"/>
    <col min="32" max="32" width="20.28515625" bestFit="1" customWidth="1"/>
    <col min="33" max="33" width="19" bestFit="1" customWidth="1"/>
    <col min="34" max="34" width="20.28515625" customWidth="1"/>
    <col min="35" max="35" width="17.85546875" customWidth="1"/>
    <col min="36" max="36" width="32.140625" customWidth="1"/>
    <col min="37" max="37" width="18.28515625" customWidth="1"/>
  </cols>
  <sheetData>
    <row r="1" spans="1:37" x14ac:dyDescent="0.25">
      <c r="A1" s="22" t="s">
        <v>7</v>
      </c>
      <c r="B1" s="1" t="s">
        <v>29</v>
      </c>
      <c r="C1" s="1" t="s">
        <v>97</v>
      </c>
      <c r="D1" s="1" t="s">
        <v>115</v>
      </c>
      <c r="E1" s="1" t="s">
        <v>116</v>
      </c>
      <c r="F1" s="1" t="s">
        <v>30</v>
      </c>
      <c r="G1" t="s">
        <v>91</v>
      </c>
      <c r="H1" t="s">
        <v>71</v>
      </c>
      <c r="I1" t="s">
        <v>72</v>
      </c>
      <c r="J1" t="s">
        <v>70</v>
      </c>
      <c r="K1" t="s">
        <v>117</v>
      </c>
      <c r="L1" t="s">
        <v>120</v>
      </c>
      <c r="M1" t="s">
        <v>122</v>
      </c>
      <c r="N1" t="s">
        <v>124</v>
      </c>
      <c r="O1" t="s">
        <v>215</v>
      </c>
      <c r="P1" t="s">
        <v>131</v>
      </c>
      <c r="Q1" t="s">
        <v>133</v>
      </c>
      <c r="R1" t="s">
        <v>135</v>
      </c>
      <c r="S1" t="s">
        <v>137</v>
      </c>
      <c r="T1" t="s">
        <v>211</v>
      </c>
      <c r="U1" t="s">
        <v>141</v>
      </c>
      <c r="V1" t="s">
        <v>143</v>
      </c>
      <c r="W1" t="s">
        <v>146</v>
      </c>
      <c r="X1" t="s">
        <v>148</v>
      </c>
      <c r="Y1" t="s">
        <v>150</v>
      </c>
      <c r="Z1" t="s">
        <v>154</v>
      </c>
      <c r="AA1" t="s">
        <v>156</v>
      </c>
      <c r="AB1" t="s">
        <v>158</v>
      </c>
      <c r="AC1" t="s">
        <v>160</v>
      </c>
      <c r="AD1" t="s">
        <v>162</v>
      </c>
      <c r="AE1" t="s">
        <v>164</v>
      </c>
      <c r="AF1" t="s">
        <v>167</v>
      </c>
      <c r="AG1" t="s">
        <v>169</v>
      </c>
      <c r="AH1" t="s">
        <v>171</v>
      </c>
      <c r="AI1" t="s">
        <v>173</v>
      </c>
      <c r="AJ1" t="s">
        <v>216</v>
      </c>
      <c r="AK1" t="s">
        <v>178</v>
      </c>
    </row>
    <row r="2" spans="1:37" x14ac:dyDescent="0.25">
      <c r="A2" t="s">
        <v>180</v>
      </c>
      <c r="B2">
        <v>1</v>
      </c>
      <c r="K2">
        <v>16</v>
      </c>
      <c r="L2">
        <v>57</v>
      </c>
      <c r="M2">
        <v>138</v>
      </c>
      <c r="N2">
        <v>208</v>
      </c>
      <c r="O2">
        <v>56</v>
      </c>
      <c r="P2">
        <v>21</v>
      </c>
      <c r="Q2">
        <v>24</v>
      </c>
      <c r="R2">
        <v>138</v>
      </c>
      <c r="S2">
        <v>6</v>
      </c>
      <c r="T2">
        <v>18</v>
      </c>
      <c r="U2">
        <v>26</v>
      </c>
      <c r="V2">
        <v>266</v>
      </c>
      <c r="W2">
        <v>252</v>
      </c>
      <c r="X2">
        <v>7</v>
      </c>
      <c r="Y2">
        <v>2.6</v>
      </c>
      <c r="Z2">
        <v>10</v>
      </c>
      <c r="AA2">
        <v>16</v>
      </c>
      <c r="AB2">
        <v>2</v>
      </c>
      <c r="AC2">
        <v>7</v>
      </c>
      <c r="AD2">
        <v>7</v>
      </c>
      <c r="AE2">
        <v>10</v>
      </c>
      <c r="AF2">
        <v>0.27</v>
      </c>
      <c r="AG2">
        <v>35.700000000000003</v>
      </c>
      <c r="AH2">
        <v>0.08</v>
      </c>
      <c r="AI2">
        <v>0.8</v>
      </c>
      <c r="AJ2">
        <v>74</v>
      </c>
      <c r="AK2">
        <v>8</v>
      </c>
    </row>
    <row r="3" spans="1:37" x14ac:dyDescent="0.25">
      <c r="A3" t="s">
        <v>181</v>
      </c>
      <c r="B3">
        <v>1</v>
      </c>
      <c r="K3">
        <v>15</v>
      </c>
      <c r="L3">
        <v>53</v>
      </c>
      <c r="M3">
        <v>138</v>
      </c>
      <c r="N3">
        <v>85</v>
      </c>
      <c r="O3">
        <v>77</v>
      </c>
      <c r="P3">
        <v>25</v>
      </c>
      <c r="Q3">
        <v>45</v>
      </c>
      <c r="R3">
        <v>132</v>
      </c>
      <c r="S3">
        <v>4</v>
      </c>
      <c r="T3">
        <v>17</v>
      </c>
      <c r="U3">
        <v>23</v>
      </c>
      <c r="V3">
        <v>492</v>
      </c>
      <c r="W3">
        <v>262</v>
      </c>
      <c r="X3">
        <v>8</v>
      </c>
      <c r="Y3">
        <v>19.2</v>
      </c>
      <c r="Z3">
        <v>11</v>
      </c>
      <c r="AA3">
        <v>19</v>
      </c>
      <c r="AB3">
        <v>13</v>
      </c>
      <c r="AC3">
        <v>7</v>
      </c>
      <c r="AD3">
        <v>9</v>
      </c>
      <c r="AE3">
        <v>10</v>
      </c>
      <c r="AF3">
        <v>0.74</v>
      </c>
      <c r="AG3">
        <v>31</v>
      </c>
      <c r="AH3">
        <v>0.08</v>
      </c>
      <c r="AI3">
        <v>3.1</v>
      </c>
      <c r="AJ3">
        <v>67</v>
      </c>
      <c r="AK3">
        <v>9</v>
      </c>
    </row>
    <row r="4" spans="1:37" x14ac:dyDescent="0.25">
      <c r="A4" t="s">
        <v>182</v>
      </c>
      <c r="B4">
        <v>1</v>
      </c>
      <c r="K4">
        <v>16</v>
      </c>
      <c r="L4">
        <v>51</v>
      </c>
      <c r="M4">
        <v>140</v>
      </c>
      <c r="N4">
        <v>113</v>
      </c>
      <c r="O4">
        <v>65</v>
      </c>
      <c r="P4">
        <v>27</v>
      </c>
      <c r="Q4">
        <v>18</v>
      </c>
      <c r="R4">
        <v>118</v>
      </c>
      <c r="S4">
        <v>7</v>
      </c>
      <c r="T4">
        <v>15</v>
      </c>
      <c r="U4">
        <v>21</v>
      </c>
      <c r="V4">
        <v>193</v>
      </c>
      <c r="W4">
        <v>233</v>
      </c>
      <c r="X4">
        <v>9</v>
      </c>
      <c r="Y4">
        <v>3.5</v>
      </c>
      <c r="Z4">
        <v>9</v>
      </c>
      <c r="AA4">
        <v>20</v>
      </c>
      <c r="AB4">
        <v>2</v>
      </c>
      <c r="AC4">
        <v>8</v>
      </c>
      <c r="AD4">
        <v>7</v>
      </c>
      <c r="AE4">
        <v>11</v>
      </c>
      <c r="AF4">
        <v>0.26</v>
      </c>
      <c r="AG4">
        <v>28.6</v>
      </c>
      <c r="AH4">
        <v>7.0000000000000007E-2</v>
      </c>
      <c r="AI4">
        <v>1</v>
      </c>
      <c r="AJ4">
        <v>54</v>
      </c>
      <c r="AK4">
        <v>8</v>
      </c>
    </row>
    <row r="5" spans="1:37" x14ac:dyDescent="0.25">
      <c r="A5" t="s">
        <v>183</v>
      </c>
      <c r="B5">
        <v>1</v>
      </c>
      <c r="K5">
        <v>18</v>
      </c>
      <c r="L5">
        <v>66</v>
      </c>
      <c r="M5">
        <v>144</v>
      </c>
      <c r="N5">
        <v>67</v>
      </c>
      <c r="O5">
        <v>73</v>
      </c>
      <c r="P5">
        <v>25</v>
      </c>
      <c r="Q5">
        <v>17</v>
      </c>
      <c r="R5">
        <v>102</v>
      </c>
      <c r="S5">
        <v>6</v>
      </c>
      <c r="T5">
        <v>17</v>
      </c>
      <c r="U5">
        <v>14</v>
      </c>
      <c r="V5">
        <v>149</v>
      </c>
      <c r="W5">
        <v>255</v>
      </c>
      <c r="X5">
        <v>8</v>
      </c>
      <c r="Y5">
        <v>4.5999999999999996</v>
      </c>
      <c r="Z5">
        <v>11</v>
      </c>
      <c r="AA5">
        <v>25</v>
      </c>
      <c r="AB5">
        <v>2</v>
      </c>
      <c r="AC5">
        <v>7</v>
      </c>
      <c r="AD5">
        <v>8</v>
      </c>
      <c r="AE5">
        <v>10</v>
      </c>
      <c r="AF5">
        <v>0.27</v>
      </c>
      <c r="AG5">
        <v>44.8</v>
      </c>
      <c r="AH5">
        <v>0.53</v>
      </c>
      <c r="AI5">
        <v>1.5</v>
      </c>
      <c r="AJ5">
        <v>54</v>
      </c>
      <c r="AK5">
        <v>8</v>
      </c>
    </row>
    <row r="6" spans="1:37" x14ac:dyDescent="0.25">
      <c r="A6" t="s">
        <v>184</v>
      </c>
      <c r="B6">
        <v>1</v>
      </c>
      <c r="K6">
        <v>16</v>
      </c>
      <c r="L6">
        <v>54</v>
      </c>
      <c r="M6">
        <v>127</v>
      </c>
      <c r="N6">
        <v>164</v>
      </c>
      <c r="O6">
        <v>64</v>
      </c>
      <c r="P6">
        <v>22</v>
      </c>
      <c r="Q6">
        <v>15</v>
      </c>
      <c r="R6">
        <v>121</v>
      </c>
      <c r="S6">
        <v>8</v>
      </c>
      <c r="T6">
        <v>20</v>
      </c>
      <c r="U6">
        <v>15</v>
      </c>
      <c r="V6">
        <v>165</v>
      </c>
      <c r="W6">
        <v>245</v>
      </c>
      <c r="X6">
        <v>11</v>
      </c>
      <c r="Y6">
        <v>9.8000000000000007</v>
      </c>
      <c r="Z6">
        <v>12</v>
      </c>
      <c r="AA6">
        <v>18</v>
      </c>
      <c r="AB6">
        <v>7</v>
      </c>
      <c r="AC6">
        <v>9</v>
      </c>
      <c r="AD6">
        <v>12</v>
      </c>
      <c r="AE6">
        <v>12</v>
      </c>
      <c r="AF6">
        <v>0.44</v>
      </c>
      <c r="AG6">
        <v>21.5</v>
      </c>
      <c r="AH6">
        <v>0.1</v>
      </c>
      <c r="AI6">
        <v>1.7</v>
      </c>
      <c r="AJ6">
        <v>68</v>
      </c>
      <c r="AK6">
        <v>5</v>
      </c>
    </row>
    <row r="7" spans="1:37" x14ac:dyDescent="0.25">
      <c r="A7" t="s">
        <v>185</v>
      </c>
      <c r="B7">
        <v>1</v>
      </c>
      <c r="K7">
        <v>17</v>
      </c>
      <c r="L7">
        <v>58</v>
      </c>
      <c r="M7">
        <v>138</v>
      </c>
      <c r="N7">
        <v>108</v>
      </c>
      <c r="O7">
        <v>67</v>
      </c>
      <c r="P7">
        <v>23</v>
      </c>
      <c r="Q7">
        <v>18</v>
      </c>
      <c r="R7">
        <v>124</v>
      </c>
      <c r="S7">
        <v>7</v>
      </c>
      <c r="T7">
        <v>13</v>
      </c>
      <c r="U7">
        <v>13</v>
      </c>
      <c r="V7">
        <v>193</v>
      </c>
      <c r="W7">
        <v>261</v>
      </c>
      <c r="X7">
        <v>13</v>
      </c>
      <c r="Y7">
        <v>6.5</v>
      </c>
      <c r="Z7">
        <v>11</v>
      </c>
      <c r="AA7">
        <v>18</v>
      </c>
      <c r="AB7">
        <v>4</v>
      </c>
      <c r="AC7">
        <v>8</v>
      </c>
      <c r="AD7">
        <v>14</v>
      </c>
      <c r="AE7">
        <v>11</v>
      </c>
      <c r="AF7">
        <v>0.27</v>
      </c>
      <c r="AG7">
        <v>37.9</v>
      </c>
      <c r="AH7">
        <v>0.19</v>
      </c>
      <c r="AI7">
        <v>2.2999999999999998</v>
      </c>
      <c r="AJ7">
        <v>56</v>
      </c>
      <c r="AK7">
        <v>7</v>
      </c>
    </row>
    <row r="8" spans="1:37" x14ac:dyDescent="0.25">
      <c r="A8" t="s">
        <v>186</v>
      </c>
      <c r="B8">
        <v>1</v>
      </c>
      <c r="K8">
        <v>16</v>
      </c>
      <c r="L8">
        <v>62</v>
      </c>
      <c r="M8">
        <v>144</v>
      </c>
      <c r="N8">
        <v>119</v>
      </c>
      <c r="O8">
        <v>57</v>
      </c>
      <c r="P8">
        <v>22</v>
      </c>
      <c r="Q8">
        <v>16</v>
      </c>
      <c r="R8">
        <v>135</v>
      </c>
      <c r="S8">
        <v>8</v>
      </c>
      <c r="T8">
        <v>15</v>
      </c>
      <c r="U8">
        <v>23</v>
      </c>
      <c r="V8">
        <v>205</v>
      </c>
      <c r="W8">
        <v>275</v>
      </c>
      <c r="X8">
        <v>23</v>
      </c>
      <c r="Y8">
        <v>15.8</v>
      </c>
      <c r="Z8">
        <v>12</v>
      </c>
      <c r="AA8">
        <v>21</v>
      </c>
      <c r="AB8">
        <v>8</v>
      </c>
      <c r="AC8">
        <v>9</v>
      </c>
      <c r="AD8">
        <v>22</v>
      </c>
      <c r="AE8">
        <v>11</v>
      </c>
      <c r="AF8">
        <v>0.61</v>
      </c>
      <c r="AG8">
        <v>27.1</v>
      </c>
      <c r="AH8">
        <v>0.09</v>
      </c>
      <c r="AI8">
        <v>3.4</v>
      </c>
      <c r="AJ8">
        <v>53</v>
      </c>
      <c r="AK8">
        <v>8</v>
      </c>
    </row>
    <row r="9" spans="1:37" x14ac:dyDescent="0.25">
      <c r="A9" t="s">
        <v>187</v>
      </c>
      <c r="B9">
        <v>1</v>
      </c>
      <c r="K9">
        <v>16</v>
      </c>
      <c r="L9">
        <v>63</v>
      </c>
      <c r="M9">
        <v>0</v>
      </c>
      <c r="N9">
        <v>119</v>
      </c>
      <c r="O9">
        <v>73</v>
      </c>
      <c r="P9">
        <v>24</v>
      </c>
      <c r="Q9">
        <v>18</v>
      </c>
      <c r="R9">
        <v>161</v>
      </c>
      <c r="S9">
        <v>10</v>
      </c>
      <c r="T9">
        <v>23</v>
      </c>
      <c r="U9">
        <v>18</v>
      </c>
      <c r="V9">
        <v>215</v>
      </c>
      <c r="W9">
        <v>288</v>
      </c>
      <c r="X9">
        <v>0</v>
      </c>
      <c r="Y9">
        <v>0</v>
      </c>
      <c r="Z9">
        <v>0</v>
      </c>
      <c r="AA9">
        <v>0</v>
      </c>
      <c r="AB9">
        <v>0</v>
      </c>
      <c r="AC9">
        <v>0</v>
      </c>
      <c r="AD9">
        <v>0</v>
      </c>
      <c r="AE9">
        <v>0</v>
      </c>
      <c r="AF9">
        <v>0</v>
      </c>
      <c r="AG9">
        <v>45.4</v>
      </c>
      <c r="AH9">
        <v>0</v>
      </c>
      <c r="AI9">
        <v>0</v>
      </c>
      <c r="AJ9">
        <v>0</v>
      </c>
      <c r="AK9">
        <v>11</v>
      </c>
    </row>
    <row r="10" spans="1:37" x14ac:dyDescent="0.25">
      <c r="A10" t="s">
        <v>188</v>
      </c>
      <c r="B10">
        <v>1</v>
      </c>
      <c r="K10">
        <v>15</v>
      </c>
      <c r="L10">
        <v>60</v>
      </c>
      <c r="M10">
        <v>0</v>
      </c>
      <c r="N10">
        <v>73</v>
      </c>
      <c r="O10">
        <v>56</v>
      </c>
      <c r="P10">
        <v>20</v>
      </c>
      <c r="Q10">
        <v>12</v>
      </c>
      <c r="R10">
        <v>102</v>
      </c>
      <c r="S10">
        <v>9</v>
      </c>
      <c r="T10">
        <v>15</v>
      </c>
      <c r="U10">
        <v>14</v>
      </c>
      <c r="V10">
        <v>138</v>
      </c>
      <c r="W10">
        <v>219</v>
      </c>
      <c r="X10">
        <v>0</v>
      </c>
      <c r="Y10">
        <v>0</v>
      </c>
      <c r="Z10">
        <v>0</v>
      </c>
      <c r="AA10">
        <v>0</v>
      </c>
      <c r="AB10">
        <v>0</v>
      </c>
      <c r="AC10">
        <v>0</v>
      </c>
      <c r="AD10">
        <v>0</v>
      </c>
      <c r="AE10">
        <v>0</v>
      </c>
      <c r="AF10">
        <v>0</v>
      </c>
      <c r="AG10">
        <v>18.7</v>
      </c>
      <c r="AH10">
        <v>0</v>
      </c>
      <c r="AI10">
        <v>0</v>
      </c>
      <c r="AJ10">
        <v>0</v>
      </c>
      <c r="AK10">
        <v>7</v>
      </c>
    </row>
    <row r="11" spans="1:37" x14ac:dyDescent="0.25">
      <c r="A11" t="s">
        <v>189</v>
      </c>
      <c r="B11">
        <v>1</v>
      </c>
      <c r="K11">
        <v>13</v>
      </c>
      <c r="L11">
        <v>65</v>
      </c>
      <c r="M11">
        <v>155</v>
      </c>
      <c r="N11">
        <v>142</v>
      </c>
      <c r="O11">
        <v>67</v>
      </c>
      <c r="P11">
        <v>27</v>
      </c>
      <c r="Q11">
        <v>15</v>
      </c>
      <c r="R11">
        <v>151</v>
      </c>
      <c r="S11">
        <v>10</v>
      </c>
      <c r="T11">
        <v>21</v>
      </c>
      <c r="U11">
        <v>22</v>
      </c>
      <c r="V11">
        <v>232</v>
      </c>
      <c r="W11">
        <v>288</v>
      </c>
      <c r="X11">
        <v>11</v>
      </c>
      <c r="Y11">
        <v>3.7</v>
      </c>
      <c r="Z11">
        <v>10</v>
      </c>
      <c r="AA11">
        <v>16</v>
      </c>
      <c r="AB11">
        <v>3</v>
      </c>
      <c r="AC11">
        <v>8</v>
      </c>
      <c r="AD11">
        <v>11</v>
      </c>
      <c r="AE11">
        <v>11</v>
      </c>
      <c r="AF11">
        <v>0.24</v>
      </c>
      <c r="AG11">
        <v>61.4</v>
      </c>
      <c r="AH11">
        <v>0.08</v>
      </c>
      <c r="AI11">
        <v>0.8</v>
      </c>
      <c r="AJ11">
        <v>70</v>
      </c>
      <c r="AK11">
        <v>8</v>
      </c>
    </row>
    <row r="12" spans="1:37" x14ac:dyDescent="0.25">
      <c r="A12" t="s">
        <v>190</v>
      </c>
      <c r="B12">
        <v>1</v>
      </c>
      <c r="K12">
        <v>14</v>
      </c>
      <c r="L12">
        <v>61</v>
      </c>
      <c r="M12">
        <v>0</v>
      </c>
      <c r="N12">
        <v>147</v>
      </c>
      <c r="O12">
        <v>59</v>
      </c>
      <c r="P12">
        <v>19</v>
      </c>
      <c r="Q12">
        <v>22</v>
      </c>
      <c r="R12">
        <v>127</v>
      </c>
      <c r="S12">
        <v>6</v>
      </c>
      <c r="T12">
        <v>14</v>
      </c>
      <c r="U12">
        <v>13</v>
      </c>
      <c r="V12">
        <v>254</v>
      </c>
      <c r="W12">
        <v>232</v>
      </c>
      <c r="X12">
        <v>0</v>
      </c>
      <c r="Y12">
        <v>0</v>
      </c>
      <c r="Z12">
        <v>0</v>
      </c>
      <c r="AA12">
        <v>0</v>
      </c>
      <c r="AB12">
        <v>0</v>
      </c>
      <c r="AC12">
        <v>0</v>
      </c>
      <c r="AD12">
        <v>0</v>
      </c>
      <c r="AE12">
        <v>0</v>
      </c>
      <c r="AF12">
        <v>0</v>
      </c>
      <c r="AG12">
        <v>48.2</v>
      </c>
      <c r="AH12">
        <v>0</v>
      </c>
      <c r="AI12">
        <v>0</v>
      </c>
      <c r="AJ12">
        <v>0</v>
      </c>
      <c r="AK12">
        <v>12</v>
      </c>
    </row>
    <row r="13" spans="1:37" x14ac:dyDescent="0.25">
      <c r="A13" t="s">
        <v>191</v>
      </c>
      <c r="B13">
        <v>1</v>
      </c>
      <c r="K13">
        <v>16</v>
      </c>
      <c r="L13">
        <v>52</v>
      </c>
      <c r="M13">
        <v>134</v>
      </c>
      <c r="N13">
        <v>105</v>
      </c>
      <c r="O13">
        <v>36</v>
      </c>
      <c r="P13">
        <v>24</v>
      </c>
      <c r="Q13">
        <v>13</v>
      </c>
      <c r="R13">
        <v>117</v>
      </c>
      <c r="S13">
        <v>10</v>
      </c>
      <c r="T13">
        <v>11</v>
      </c>
      <c r="U13">
        <v>9</v>
      </c>
      <c r="V13">
        <v>131</v>
      </c>
      <c r="W13">
        <v>227</v>
      </c>
      <c r="X13">
        <v>6</v>
      </c>
      <c r="Y13">
        <v>2.9</v>
      </c>
      <c r="Z13">
        <v>11</v>
      </c>
      <c r="AA13">
        <v>17</v>
      </c>
      <c r="AB13">
        <v>1</v>
      </c>
      <c r="AC13">
        <v>7</v>
      </c>
      <c r="AD13">
        <v>6</v>
      </c>
      <c r="AE13">
        <v>9</v>
      </c>
      <c r="AF13">
        <v>0</v>
      </c>
      <c r="AG13">
        <v>21.9</v>
      </c>
      <c r="AH13">
        <v>0.05</v>
      </c>
      <c r="AI13">
        <v>0.6</v>
      </c>
      <c r="AJ13">
        <v>61</v>
      </c>
      <c r="AK13">
        <v>8</v>
      </c>
    </row>
    <row r="14" spans="1:37" x14ac:dyDescent="0.25">
      <c r="A14" t="s">
        <v>192</v>
      </c>
      <c r="B14">
        <v>1</v>
      </c>
      <c r="K14">
        <v>14</v>
      </c>
      <c r="L14">
        <v>51</v>
      </c>
      <c r="M14">
        <v>127</v>
      </c>
      <c r="N14">
        <v>125</v>
      </c>
      <c r="O14">
        <v>58</v>
      </c>
      <c r="P14">
        <v>19</v>
      </c>
      <c r="Q14">
        <v>19</v>
      </c>
      <c r="R14">
        <v>98</v>
      </c>
      <c r="S14">
        <v>6</v>
      </c>
      <c r="T14">
        <v>14</v>
      </c>
      <c r="U14">
        <v>24</v>
      </c>
      <c r="V14">
        <v>232</v>
      </c>
      <c r="W14">
        <v>230</v>
      </c>
      <c r="X14">
        <v>12</v>
      </c>
      <c r="Y14">
        <v>7.3</v>
      </c>
      <c r="Z14">
        <v>13</v>
      </c>
      <c r="AA14">
        <v>23</v>
      </c>
      <c r="AB14">
        <v>4</v>
      </c>
      <c r="AC14">
        <v>10</v>
      </c>
      <c r="AD14">
        <v>13</v>
      </c>
      <c r="AE14">
        <v>13</v>
      </c>
      <c r="AF14">
        <v>0.27</v>
      </c>
      <c r="AG14">
        <v>38.6</v>
      </c>
      <c r="AH14">
        <v>0.06</v>
      </c>
      <c r="AI14">
        <v>2.6</v>
      </c>
      <c r="AJ14">
        <v>53</v>
      </c>
      <c r="AK14">
        <v>11</v>
      </c>
    </row>
    <row r="15" spans="1:37" x14ac:dyDescent="0.25">
      <c r="A15" t="s">
        <v>193</v>
      </c>
      <c r="B15">
        <v>1</v>
      </c>
      <c r="K15">
        <v>11</v>
      </c>
      <c r="L15">
        <v>59</v>
      </c>
      <c r="M15">
        <v>0</v>
      </c>
      <c r="N15">
        <v>57</v>
      </c>
      <c r="O15">
        <v>95</v>
      </c>
      <c r="P15">
        <v>41</v>
      </c>
      <c r="Q15">
        <v>20</v>
      </c>
      <c r="R15">
        <v>171</v>
      </c>
      <c r="S15">
        <v>8</v>
      </c>
      <c r="T15">
        <v>16</v>
      </c>
      <c r="U15">
        <v>10</v>
      </c>
      <c r="V15">
        <v>289</v>
      </c>
      <c r="W15">
        <v>334</v>
      </c>
      <c r="X15">
        <v>0</v>
      </c>
      <c r="Y15">
        <v>0</v>
      </c>
      <c r="Z15">
        <v>0</v>
      </c>
      <c r="AA15">
        <v>0</v>
      </c>
      <c r="AB15">
        <v>0</v>
      </c>
      <c r="AC15">
        <v>0</v>
      </c>
      <c r="AD15">
        <v>0</v>
      </c>
      <c r="AE15">
        <v>0</v>
      </c>
      <c r="AF15">
        <v>0</v>
      </c>
      <c r="AG15">
        <v>16</v>
      </c>
      <c r="AH15">
        <v>0</v>
      </c>
      <c r="AI15">
        <v>0</v>
      </c>
      <c r="AJ15">
        <v>0</v>
      </c>
      <c r="AK15">
        <v>15</v>
      </c>
    </row>
    <row r="16" spans="1:37" x14ac:dyDescent="0.25">
      <c r="A16" t="s">
        <v>194</v>
      </c>
      <c r="B16">
        <v>1</v>
      </c>
      <c r="K16">
        <v>18</v>
      </c>
      <c r="L16">
        <v>59</v>
      </c>
      <c r="M16">
        <v>0</v>
      </c>
      <c r="N16">
        <v>23</v>
      </c>
      <c r="O16">
        <v>54</v>
      </c>
      <c r="P16">
        <v>18</v>
      </c>
      <c r="Q16">
        <v>14</v>
      </c>
      <c r="R16">
        <v>112</v>
      </c>
      <c r="S16">
        <v>8</v>
      </c>
      <c r="T16">
        <v>16</v>
      </c>
      <c r="U16">
        <v>10</v>
      </c>
      <c r="V16">
        <v>171</v>
      </c>
      <c r="W16">
        <v>245</v>
      </c>
      <c r="X16">
        <v>0</v>
      </c>
      <c r="Y16">
        <v>0</v>
      </c>
      <c r="Z16">
        <v>0</v>
      </c>
      <c r="AA16">
        <v>0</v>
      </c>
      <c r="AB16">
        <v>0</v>
      </c>
      <c r="AC16">
        <v>0</v>
      </c>
      <c r="AD16">
        <v>0</v>
      </c>
      <c r="AE16">
        <v>0</v>
      </c>
      <c r="AF16">
        <v>0</v>
      </c>
      <c r="AG16">
        <v>13.7</v>
      </c>
      <c r="AH16">
        <v>0</v>
      </c>
      <c r="AI16">
        <v>0</v>
      </c>
      <c r="AJ16">
        <v>0</v>
      </c>
      <c r="AK16">
        <v>7</v>
      </c>
    </row>
    <row r="17" spans="1:37" x14ac:dyDescent="0.25">
      <c r="A17" t="s">
        <v>195</v>
      </c>
      <c r="B17">
        <v>1</v>
      </c>
      <c r="K17">
        <v>17</v>
      </c>
      <c r="L17">
        <v>61</v>
      </c>
      <c r="M17">
        <v>139</v>
      </c>
      <c r="N17">
        <v>126</v>
      </c>
      <c r="O17">
        <v>68</v>
      </c>
      <c r="P17">
        <v>25</v>
      </c>
      <c r="Q17">
        <v>18</v>
      </c>
      <c r="R17">
        <v>118</v>
      </c>
      <c r="S17">
        <v>7</v>
      </c>
      <c r="T17">
        <v>11</v>
      </c>
      <c r="U17">
        <v>22</v>
      </c>
      <c r="V17">
        <v>206</v>
      </c>
      <c r="W17">
        <v>258</v>
      </c>
      <c r="X17">
        <v>11</v>
      </c>
      <c r="Y17">
        <v>10.3</v>
      </c>
      <c r="Z17">
        <v>12</v>
      </c>
      <c r="AA17">
        <v>22</v>
      </c>
      <c r="AB17">
        <v>4</v>
      </c>
      <c r="AC17">
        <v>8</v>
      </c>
      <c r="AD17">
        <v>10</v>
      </c>
      <c r="AE17">
        <v>12</v>
      </c>
      <c r="AF17">
        <v>0.48</v>
      </c>
      <c r="AG17">
        <v>23.4</v>
      </c>
      <c r="AH17">
        <v>0.1</v>
      </c>
      <c r="AI17">
        <v>2.7</v>
      </c>
      <c r="AJ17">
        <v>45</v>
      </c>
      <c r="AK17">
        <v>6</v>
      </c>
    </row>
    <row r="18" spans="1:37" x14ac:dyDescent="0.25">
      <c r="A18" t="s">
        <v>196</v>
      </c>
      <c r="B18">
        <v>1</v>
      </c>
      <c r="K18">
        <v>14</v>
      </c>
      <c r="L18">
        <v>51</v>
      </c>
      <c r="M18">
        <v>142</v>
      </c>
      <c r="N18">
        <v>153</v>
      </c>
      <c r="O18">
        <v>75</v>
      </c>
      <c r="P18">
        <v>29</v>
      </c>
      <c r="Q18">
        <v>19</v>
      </c>
      <c r="R18">
        <v>164</v>
      </c>
      <c r="S18">
        <v>10</v>
      </c>
      <c r="T18">
        <v>16</v>
      </c>
      <c r="U18">
        <v>17</v>
      </c>
      <c r="V18">
        <v>287</v>
      </c>
      <c r="W18">
        <v>317</v>
      </c>
      <c r="X18">
        <v>10</v>
      </c>
      <c r="Y18">
        <v>6.5</v>
      </c>
      <c r="Z18">
        <v>11</v>
      </c>
      <c r="AA18">
        <v>18</v>
      </c>
      <c r="AB18">
        <v>4</v>
      </c>
      <c r="AC18">
        <v>8</v>
      </c>
      <c r="AD18">
        <v>12</v>
      </c>
      <c r="AE18">
        <v>12</v>
      </c>
      <c r="AF18">
        <v>0.36</v>
      </c>
      <c r="AG18">
        <v>82.9</v>
      </c>
      <c r="AH18">
        <v>7.0000000000000007E-2</v>
      </c>
      <c r="AI18">
        <v>1.7</v>
      </c>
      <c r="AJ18">
        <v>67</v>
      </c>
      <c r="AK18">
        <v>7</v>
      </c>
    </row>
    <row r="19" spans="1:37" x14ac:dyDescent="0.25">
      <c r="A19" t="s">
        <v>197</v>
      </c>
      <c r="B19">
        <v>1</v>
      </c>
      <c r="K19">
        <v>13</v>
      </c>
      <c r="L19">
        <v>63</v>
      </c>
      <c r="M19">
        <v>146</v>
      </c>
      <c r="N19">
        <v>174</v>
      </c>
      <c r="O19">
        <v>59</v>
      </c>
      <c r="P19">
        <v>30</v>
      </c>
      <c r="Q19">
        <v>26</v>
      </c>
      <c r="R19">
        <v>165</v>
      </c>
      <c r="S19">
        <v>7</v>
      </c>
      <c r="T19">
        <v>21</v>
      </c>
      <c r="U19">
        <v>26</v>
      </c>
      <c r="V19">
        <v>312</v>
      </c>
      <c r="W19">
        <v>275</v>
      </c>
      <c r="X19">
        <v>10</v>
      </c>
      <c r="Y19">
        <v>2.4</v>
      </c>
      <c r="Z19">
        <v>8</v>
      </c>
      <c r="AA19">
        <v>16</v>
      </c>
      <c r="AB19">
        <v>1</v>
      </c>
      <c r="AC19">
        <v>7</v>
      </c>
      <c r="AD19">
        <v>8</v>
      </c>
      <c r="AE19">
        <v>9</v>
      </c>
      <c r="AF19">
        <v>0.16</v>
      </c>
      <c r="AG19">
        <v>102.9</v>
      </c>
      <c r="AH19">
        <v>0.06</v>
      </c>
      <c r="AI19">
        <v>0.6</v>
      </c>
      <c r="AJ19">
        <v>54</v>
      </c>
      <c r="AK19">
        <v>9</v>
      </c>
    </row>
    <row r="20" spans="1:37" x14ac:dyDescent="0.25">
      <c r="A20" t="s">
        <v>198</v>
      </c>
      <c r="B20">
        <v>1</v>
      </c>
      <c r="K20">
        <v>12</v>
      </c>
      <c r="L20">
        <v>56</v>
      </c>
      <c r="M20">
        <v>133</v>
      </c>
      <c r="N20">
        <v>121</v>
      </c>
      <c r="O20">
        <v>75</v>
      </c>
      <c r="P20">
        <v>27</v>
      </c>
      <c r="Q20">
        <v>19</v>
      </c>
      <c r="R20">
        <v>163</v>
      </c>
      <c r="S20">
        <v>9</v>
      </c>
      <c r="T20">
        <v>26</v>
      </c>
      <c r="U20">
        <v>24</v>
      </c>
      <c r="V20">
        <v>263</v>
      </c>
      <c r="W20">
        <v>296</v>
      </c>
      <c r="X20">
        <v>36</v>
      </c>
      <c r="Y20">
        <v>10.4</v>
      </c>
      <c r="Z20">
        <v>11</v>
      </c>
      <c r="AA20">
        <v>20</v>
      </c>
      <c r="AB20">
        <v>8</v>
      </c>
      <c r="AC20">
        <v>9</v>
      </c>
      <c r="AD20">
        <v>33</v>
      </c>
      <c r="AE20">
        <v>12</v>
      </c>
      <c r="AF20">
        <v>0.24</v>
      </c>
      <c r="AG20">
        <v>50.8</v>
      </c>
      <c r="AH20">
        <v>0.06</v>
      </c>
      <c r="AI20">
        <v>2.8</v>
      </c>
      <c r="AJ20">
        <v>62</v>
      </c>
      <c r="AK20">
        <v>6</v>
      </c>
    </row>
    <row r="21" spans="1:37" x14ac:dyDescent="0.25">
      <c r="A21" t="s">
        <v>199</v>
      </c>
      <c r="B21">
        <v>1</v>
      </c>
      <c r="K21">
        <v>14</v>
      </c>
      <c r="L21">
        <v>64</v>
      </c>
      <c r="M21">
        <v>143</v>
      </c>
      <c r="N21">
        <v>143</v>
      </c>
      <c r="O21">
        <v>66</v>
      </c>
      <c r="P21">
        <v>25</v>
      </c>
      <c r="Q21">
        <v>18</v>
      </c>
      <c r="R21">
        <v>181</v>
      </c>
      <c r="S21">
        <v>11</v>
      </c>
      <c r="T21">
        <v>27</v>
      </c>
      <c r="U21">
        <v>15</v>
      </c>
      <c r="V21">
        <v>214</v>
      </c>
      <c r="W21">
        <v>323</v>
      </c>
      <c r="X21">
        <v>17</v>
      </c>
      <c r="Y21">
        <v>6.8</v>
      </c>
      <c r="Z21">
        <v>10</v>
      </c>
      <c r="AA21">
        <v>19</v>
      </c>
      <c r="AB21">
        <v>4</v>
      </c>
      <c r="AC21">
        <v>7</v>
      </c>
      <c r="AD21">
        <v>20</v>
      </c>
      <c r="AE21">
        <v>10</v>
      </c>
      <c r="AF21">
        <v>0.23</v>
      </c>
      <c r="AG21">
        <v>72.3</v>
      </c>
      <c r="AH21">
        <v>0.05</v>
      </c>
      <c r="AI21">
        <v>2</v>
      </c>
      <c r="AJ21">
        <v>70</v>
      </c>
      <c r="AK21">
        <v>10</v>
      </c>
    </row>
    <row r="22" spans="1:37" x14ac:dyDescent="0.25">
      <c r="A22" t="s">
        <v>200</v>
      </c>
      <c r="B22">
        <v>1</v>
      </c>
      <c r="K22">
        <v>14</v>
      </c>
      <c r="L22">
        <v>54</v>
      </c>
      <c r="M22">
        <v>136</v>
      </c>
      <c r="N22">
        <v>118</v>
      </c>
      <c r="O22">
        <v>68</v>
      </c>
      <c r="P22">
        <v>28</v>
      </c>
      <c r="Q22">
        <v>51</v>
      </c>
      <c r="R22">
        <v>148</v>
      </c>
      <c r="S22">
        <v>5</v>
      </c>
      <c r="T22">
        <v>20</v>
      </c>
      <c r="U22">
        <v>16</v>
      </c>
      <c r="V22">
        <v>259</v>
      </c>
      <c r="W22">
        <v>265</v>
      </c>
      <c r="X22">
        <v>35</v>
      </c>
      <c r="Y22">
        <v>12.5</v>
      </c>
      <c r="Z22">
        <v>9</v>
      </c>
      <c r="AA22">
        <v>14</v>
      </c>
      <c r="AB22">
        <v>9</v>
      </c>
      <c r="AC22">
        <v>8</v>
      </c>
      <c r="AD22">
        <v>31</v>
      </c>
      <c r="AE22">
        <v>10</v>
      </c>
      <c r="AF22">
        <v>0.34</v>
      </c>
      <c r="AG22">
        <v>47.2</v>
      </c>
      <c r="AH22">
        <v>0.35</v>
      </c>
      <c r="AI22">
        <v>1.8</v>
      </c>
      <c r="AJ22">
        <v>66</v>
      </c>
      <c r="AK22">
        <v>8</v>
      </c>
    </row>
    <row r="23" spans="1:37" x14ac:dyDescent="0.25">
      <c r="A23" t="s">
        <v>201</v>
      </c>
      <c r="B23">
        <v>1</v>
      </c>
      <c r="K23">
        <v>17</v>
      </c>
      <c r="L23">
        <v>53</v>
      </c>
      <c r="M23">
        <v>129</v>
      </c>
      <c r="N23">
        <v>98</v>
      </c>
      <c r="O23">
        <v>75</v>
      </c>
      <c r="P23">
        <v>31</v>
      </c>
      <c r="Q23">
        <v>29</v>
      </c>
      <c r="R23">
        <v>162</v>
      </c>
      <c r="S23">
        <v>6</v>
      </c>
      <c r="T23">
        <v>15</v>
      </c>
      <c r="U23">
        <v>32</v>
      </c>
      <c r="V23">
        <v>330</v>
      </c>
      <c r="W23">
        <v>302</v>
      </c>
      <c r="X23">
        <v>68</v>
      </c>
      <c r="Y23">
        <v>27.5</v>
      </c>
      <c r="Z23">
        <v>11</v>
      </c>
      <c r="AA23">
        <v>19</v>
      </c>
      <c r="AB23">
        <v>18</v>
      </c>
      <c r="AC23">
        <v>9</v>
      </c>
      <c r="AD23">
        <v>66</v>
      </c>
      <c r="AE23">
        <v>12</v>
      </c>
      <c r="AF23">
        <v>0.33</v>
      </c>
      <c r="AG23">
        <v>48.3</v>
      </c>
      <c r="AH23">
        <v>0.06</v>
      </c>
      <c r="AI23">
        <v>5.6</v>
      </c>
      <c r="AJ23">
        <v>74</v>
      </c>
      <c r="AK23">
        <v>8</v>
      </c>
    </row>
    <row r="24" spans="1:37" x14ac:dyDescent="0.25">
      <c r="A24" t="s">
        <v>202</v>
      </c>
      <c r="B24">
        <v>1</v>
      </c>
      <c r="K24">
        <v>15</v>
      </c>
      <c r="L24">
        <v>53</v>
      </c>
      <c r="M24">
        <v>134</v>
      </c>
      <c r="N24">
        <v>88</v>
      </c>
      <c r="O24">
        <v>68</v>
      </c>
      <c r="P24">
        <v>24</v>
      </c>
      <c r="Q24">
        <v>22</v>
      </c>
      <c r="R24">
        <v>133</v>
      </c>
      <c r="S24">
        <v>6</v>
      </c>
      <c r="T24">
        <v>20</v>
      </c>
      <c r="U24">
        <v>27</v>
      </c>
      <c r="V24">
        <v>182</v>
      </c>
      <c r="W24">
        <v>299</v>
      </c>
      <c r="X24">
        <v>9</v>
      </c>
      <c r="Y24">
        <v>8</v>
      </c>
      <c r="Z24">
        <v>12</v>
      </c>
      <c r="AA24">
        <v>16</v>
      </c>
      <c r="AB24">
        <v>6</v>
      </c>
      <c r="AC24">
        <v>8</v>
      </c>
      <c r="AD24">
        <v>9</v>
      </c>
      <c r="AE24">
        <v>9</v>
      </c>
      <c r="AF24">
        <v>0.67</v>
      </c>
      <c r="AG24">
        <v>36.6</v>
      </c>
      <c r="AH24">
        <v>1.05</v>
      </c>
      <c r="AI24">
        <v>0.2</v>
      </c>
      <c r="AJ24">
        <v>75</v>
      </c>
      <c r="AK24">
        <v>9</v>
      </c>
    </row>
    <row r="25" spans="1:37" x14ac:dyDescent="0.25">
      <c r="A25" t="s">
        <v>203</v>
      </c>
      <c r="B25">
        <v>1</v>
      </c>
      <c r="K25">
        <v>16</v>
      </c>
      <c r="L25">
        <v>54</v>
      </c>
      <c r="M25">
        <v>127</v>
      </c>
      <c r="N25">
        <v>82</v>
      </c>
      <c r="O25">
        <v>65</v>
      </c>
      <c r="P25">
        <v>22</v>
      </c>
      <c r="Q25">
        <v>18</v>
      </c>
      <c r="R25">
        <v>141</v>
      </c>
      <c r="S25">
        <v>9</v>
      </c>
      <c r="T25">
        <v>16</v>
      </c>
      <c r="U25">
        <v>17</v>
      </c>
      <c r="V25">
        <v>259</v>
      </c>
      <c r="W25">
        <v>258</v>
      </c>
      <c r="X25">
        <v>21</v>
      </c>
      <c r="Y25">
        <v>6.7</v>
      </c>
      <c r="Z25">
        <v>10</v>
      </c>
      <c r="AA25">
        <v>15</v>
      </c>
      <c r="AB25">
        <v>5</v>
      </c>
      <c r="AC25">
        <v>9</v>
      </c>
      <c r="AD25">
        <v>18</v>
      </c>
      <c r="AE25">
        <v>9</v>
      </c>
      <c r="AF25">
        <v>0.3</v>
      </c>
      <c r="AG25">
        <v>24.7</v>
      </c>
      <c r="AH25">
        <v>0.1</v>
      </c>
      <c r="AI25">
        <v>3.3</v>
      </c>
      <c r="AJ25">
        <v>75</v>
      </c>
      <c r="AK25">
        <v>6</v>
      </c>
    </row>
    <row r="26" spans="1:37" x14ac:dyDescent="0.25">
      <c r="A26" t="s">
        <v>204</v>
      </c>
      <c r="B26">
        <v>1</v>
      </c>
      <c r="K26">
        <v>14</v>
      </c>
      <c r="L26">
        <v>48</v>
      </c>
      <c r="M26">
        <v>134</v>
      </c>
      <c r="N26">
        <v>87</v>
      </c>
      <c r="O26">
        <v>64</v>
      </c>
      <c r="P26">
        <v>26</v>
      </c>
      <c r="Q26">
        <v>27</v>
      </c>
      <c r="R26">
        <v>134</v>
      </c>
      <c r="S26">
        <v>5</v>
      </c>
      <c r="T26">
        <v>14</v>
      </c>
      <c r="U26">
        <v>22</v>
      </c>
      <c r="V26">
        <v>217</v>
      </c>
      <c r="W26">
        <v>279</v>
      </c>
      <c r="X26">
        <v>23</v>
      </c>
      <c r="Y26">
        <v>13.2</v>
      </c>
      <c r="Z26">
        <v>9</v>
      </c>
      <c r="AA26">
        <v>15</v>
      </c>
      <c r="AB26">
        <v>10</v>
      </c>
      <c r="AC26">
        <v>8</v>
      </c>
      <c r="AD26">
        <v>22</v>
      </c>
      <c r="AE26">
        <v>10</v>
      </c>
      <c r="AF26">
        <v>0.32</v>
      </c>
      <c r="AG26">
        <v>21</v>
      </c>
      <c r="AH26">
        <v>0.09</v>
      </c>
      <c r="AI26">
        <v>3.1</v>
      </c>
      <c r="AJ26">
        <v>69</v>
      </c>
      <c r="AK26">
        <v>7</v>
      </c>
    </row>
    <row r="27" spans="1:37" x14ac:dyDescent="0.25">
      <c r="A27" t="s">
        <v>205</v>
      </c>
      <c r="B27">
        <v>1</v>
      </c>
      <c r="K27">
        <v>14</v>
      </c>
      <c r="L27">
        <v>64</v>
      </c>
      <c r="M27">
        <v>127</v>
      </c>
      <c r="N27">
        <v>94</v>
      </c>
      <c r="O27">
        <v>78</v>
      </c>
      <c r="P27">
        <v>26</v>
      </c>
      <c r="Q27">
        <v>26</v>
      </c>
      <c r="R27">
        <v>168</v>
      </c>
      <c r="S27">
        <v>7</v>
      </c>
      <c r="T27">
        <v>22</v>
      </c>
      <c r="U27">
        <v>22</v>
      </c>
      <c r="V27">
        <v>237</v>
      </c>
      <c r="W27">
        <v>350</v>
      </c>
      <c r="X27">
        <v>9</v>
      </c>
      <c r="Y27">
        <v>4.2</v>
      </c>
      <c r="Z27">
        <v>9</v>
      </c>
      <c r="AA27">
        <v>25</v>
      </c>
      <c r="AB27">
        <v>4</v>
      </c>
      <c r="AC27">
        <v>8</v>
      </c>
      <c r="AD27">
        <v>9</v>
      </c>
      <c r="AE27">
        <v>13</v>
      </c>
      <c r="AF27">
        <v>0.41</v>
      </c>
      <c r="AG27">
        <v>44.3</v>
      </c>
      <c r="AH27">
        <v>0.1</v>
      </c>
      <c r="AI27">
        <v>0.7</v>
      </c>
      <c r="AJ27">
        <v>88</v>
      </c>
      <c r="AK27">
        <v>8</v>
      </c>
    </row>
    <row r="28" spans="1:37" x14ac:dyDescent="0.25">
      <c r="A28" t="s">
        <v>206</v>
      </c>
      <c r="B28">
        <v>1</v>
      </c>
      <c r="K28">
        <v>13</v>
      </c>
      <c r="L28">
        <v>54</v>
      </c>
      <c r="M28">
        <v>139</v>
      </c>
      <c r="N28">
        <v>124</v>
      </c>
      <c r="O28">
        <v>74</v>
      </c>
      <c r="P28">
        <v>26</v>
      </c>
      <c r="Q28">
        <v>23</v>
      </c>
      <c r="R28">
        <v>143</v>
      </c>
      <c r="S28">
        <v>7</v>
      </c>
      <c r="T28">
        <v>24</v>
      </c>
      <c r="U28">
        <v>20</v>
      </c>
      <c r="V28">
        <v>253</v>
      </c>
      <c r="W28">
        <v>281</v>
      </c>
      <c r="X28">
        <v>19</v>
      </c>
      <c r="Y28">
        <v>8.6999999999999993</v>
      </c>
      <c r="Z28">
        <v>11</v>
      </c>
      <c r="AA28">
        <v>19</v>
      </c>
      <c r="AB28">
        <v>6</v>
      </c>
      <c r="AC28">
        <v>9</v>
      </c>
      <c r="AD28">
        <v>18</v>
      </c>
      <c r="AE28">
        <v>13</v>
      </c>
      <c r="AF28">
        <v>0.28999999999999998</v>
      </c>
      <c r="AG28">
        <v>69.900000000000006</v>
      </c>
      <c r="AH28">
        <v>0.1</v>
      </c>
      <c r="AI28">
        <v>2.4</v>
      </c>
      <c r="AJ28">
        <v>69</v>
      </c>
      <c r="AK28">
        <v>14</v>
      </c>
    </row>
    <row r="29" spans="1:37" x14ac:dyDescent="0.25">
      <c r="A29" t="s">
        <v>207</v>
      </c>
      <c r="B29">
        <v>1</v>
      </c>
      <c r="K29">
        <v>15</v>
      </c>
      <c r="L29">
        <v>47</v>
      </c>
      <c r="M29">
        <v>127</v>
      </c>
      <c r="N29">
        <v>120</v>
      </c>
      <c r="O29">
        <v>80</v>
      </c>
      <c r="P29">
        <v>23</v>
      </c>
      <c r="Q29">
        <v>24</v>
      </c>
      <c r="R29">
        <v>175</v>
      </c>
      <c r="S29">
        <v>7</v>
      </c>
      <c r="T29">
        <v>20</v>
      </c>
      <c r="U29">
        <v>21</v>
      </c>
      <c r="V29">
        <v>180</v>
      </c>
      <c r="W29">
        <v>331</v>
      </c>
      <c r="X29">
        <v>5</v>
      </c>
      <c r="Y29">
        <v>1.5</v>
      </c>
      <c r="Z29">
        <v>10</v>
      </c>
      <c r="AA29">
        <v>17</v>
      </c>
      <c r="AB29">
        <v>1</v>
      </c>
      <c r="AC29">
        <v>7</v>
      </c>
      <c r="AD29">
        <v>5</v>
      </c>
      <c r="AE29">
        <v>10</v>
      </c>
      <c r="AF29">
        <v>0.13</v>
      </c>
      <c r="AG29">
        <v>49.8</v>
      </c>
      <c r="AH29">
        <v>7.0000000000000007E-2</v>
      </c>
      <c r="AI29">
        <v>0.5</v>
      </c>
      <c r="AJ29">
        <v>45</v>
      </c>
      <c r="AK29">
        <v>8</v>
      </c>
    </row>
    <row r="30" spans="1:37" x14ac:dyDescent="0.25">
      <c r="A30" t="s">
        <v>208</v>
      </c>
      <c r="B30">
        <v>1</v>
      </c>
      <c r="K30">
        <v>16</v>
      </c>
      <c r="L30">
        <v>64</v>
      </c>
      <c r="M30">
        <v>0</v>
      </c>
      <c r="N30">
        <v>86</v>
      </c>
      <c r="O30">
        <v>68</v>
      </c>
      <c r="P30">
        <v>21</v>
      </c>
      <c r="Q30">
        <v>20</v>
      </c>
      <c r="R30">
        <v>119</v>
      </c>
      <c r="S30">
        <v>6</v>
      </c>
      <c r="T30">
        <v>15</v>
      </c>
      <c r="U30">
        <v>18</v>
      </c>
      <c r="V30">
        <v>300</v>
      </c>
      <c r="W30">
        <v>274</v>
      </c>
      <c r="X30">
        <v>0</v>
      </c>
      <c r="Y30">
        <v>0</v>
      </c>
      <c r="Z30">
        <v>0</v>
      </c>
      <c r="AA30">
        <v>0</v>
      </c>
      <c r="AB30">
        <v>0</v>
      </c>
      <c r="AC30">
        <v>0</v>
      </c>
      <c r="AD30">
        <v>0</v>
      </c>
      <c r="AE30">
        <v>0</v>
      </c>
      <c r="AF30">
        <v>0</v>
      </c>
      <c r="AG30">
        <v>26.6</v>
      </c>
      <c r="AH30">
        <v>0</v>
      </c>
      <c r="AI30">
        <v>0</v>
      </c>
      <c r="AJ30">
        <v>0</v>
      </c>
      <c r="AK30">
        <v>6</v>
      </c>
    </row>
    <row r="31" spans="1:37" x14ac:dyDescent="0.25">
      <c r="A31" t="s">
        <v>209</v>
      </c>
      <c r="B31">
        <v>1</v>
      </c>
      <c r="K31">
        <v>16</v>
      </c>
      <c r="L31">
        <v>61</v>
      </c>
      <c r="M31">
        <v>133</v>
      </c>
      <c r="N31">
        <v>97</v>
      </c>
      <c r="O31">
        <v>62</v>
      </c>
      <c r="P31">
        <v>24</v>
      </c>
      <c r="Q31">
        <v>23</v>
      </c>
      <c r="R31">
        <v>101</v>
      </c>
      <c r="S31">
        <v>4</v>
      </c>
      <c r="T31">
        <v>12</v>
      </c>
      <c r="U31">
        <v>21</v>
      </c>
      <c r="V31">
        <v>185</v>
      </c>
      <c r="W31">
        <v>281</v>
      </c>
      <c r="X31">
        <v>8</v>
      </c>
      <c r="Y31">
        <v>4.5999999999999996</v>
      </c>
      <c r="Z31">
        <v>11</v>
      </c>
      <c r="AA31">
        <v>15</v>
      </c>
      <c r="AB31">
        <v>4</v>
      </c>
      <c r="AC31">
        <v>8</v>
      </c>
      <c r="AD31">
        <v>7</v>
      </c>
      <c r="AE31">
        <v>11</v>
      </c>
      <c r="AF31">
        <v>0.81</v>
      </c>
      <c r="AG31">
        <v>31.8</v>
      </c>
      <c r="AH31">
        <v>7.0000000000000007E-2</v>
      </c>
      <c r="AI31">
        <v>0.9</v>
      </c>
      <c r="AJ31">
        <v>89</v>
      </c>
      <c r="AK31">
        <v>9</v>
      </c>
    </row>
    <row r="32" spans="1:37" x14ac:dyDescent="0.25">
      <c r="A32" t="s">
        <v>210</v>
      </c>
      <c r="B32">
        <v>1</v>
      </c>
      <c r="K32">
        <v>16</v>
      </c>
      <c r="L32">
        <v>54</v>
      </c>
      <c r="M32">
        <v>136</v>
      </c>
      <c r="N32">
        <v>83</v>
      </c>
      <c r="O32">
        <v>68</v>
      </c>
      <c r="P32">
        <v>24</v>
      </c>
      <c r="Q32">
        <v>23</v>
      </c>
      <c r="R32">
        <v>156</v>
      </c>
      <c r="S32">
        <v>8</v>
      </c>
      <c r="T32">
        <v>15</v>
      </c>
      <c r="U32">
        <v>17</v>
      </c>
      <c r="V32">
        <v>169</v>
      </c>
      <c r="W32">
        <v>304</v>
      </c>
      <c r="X32">
        <v>11</v>
      </c>
      <c r="Y32">
        <v>7.2</v>
      </c>
      <c r="Z32">
        <v>12</v>
      </c>
      <c r="AA32">
        <v>19</v>
      </c>
      <c r="AB32">
        <v>3</v>
      </c>
      <c r="AC32">
        <v>9</v>
      </c>
      <c r="AD32">
        <v>12</v>
      </c>
      <c r="AE32">
        <v>12</v>
      </c>
      <c r="AF32">
        <v>0.46</v>
      </c>
      <c r="AG32">
        <v>46.3</v>
      </c>
      <c r="AH32">
        <v>0.08</v>
      </c>
      <c r="AI32">
        <v>0.9</v>
      </c>
      <c r="AJ32">
        <v>52</v>
      </c>
      <c r="AK32">
        <v>8</v>
      </c>
    </row>
  </sheetData>
  <conditionalFormatting sqref="A2:A32">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5" x14ac:dyDescent="0.2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1" sqref="C1:D2"/>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B6" sqref="B6"/>
    </sheetView>
  </sheetViews>
  <sheetFormatPr defaultRowHeight="15" x14ac:dyDescent="0.25"/>
  <cols>
    <col min="1" max="1" width="24.85546875" customWidth="1"/>
    <col min="2" max="2" width="15.14062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row r="2" spans="1:6" x14ac:dyDescent="0.25">
      <c r="A2" t="s">
        <v>212</v>
      </c>
      <c r="C2" t="s">
        <v>213</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32"/>
  <sheetViews>
    <sheetView workbookViewId="0">
      <selection activeCell="G32" sqref="G32"/>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row r="32" spans="7:7" x14ac:dyDescent="0.25">
      <c r="G32" t="s">
        <v>214</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2026-09-18T13:07:16Z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